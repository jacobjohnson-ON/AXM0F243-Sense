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90" windowWidth="15480" windowHeight="12315"/>
  </bookViews>
  <sheets>
    <sheet name="Display" sheetId="2" r:id="rId1"/>
    <sheet name="Data" sheetId="1" r:id="rId2"/>
    <sheet name="Picture" sheetId="3" r:id="rId3"/>
  </sheets>
  <calcPr calcId="145621"/>
</workbook>
</file>

<file path=xl/calcChain.xml><?xml version="1.0" encoding="utf-8"?>
<calcChain xmlns="http://schemas.openxmlformats.org/spreadsheetml/2006/main">
  <c r="W29" i="2" l="1"/>
  <c r="W2" i="2" l="1"/>
  <c r="W19" i="2" l="1"/>
  <c r="W7" i="2"/>
  <c r="A27" i="2" l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2" i="1"/>
  <c r="A33" i="1"/>
  <c r="A34" i="1"/>
  <c r="A35" i="1"/>
  <c r="A36" i="1"/>
  <c r="A37" i="1"/>
  <c r="A38" i="1"/>
  <c r="A39" i="1"/>
  <c r="A40" i="1"/>
  <c r="A41" i="1"/>
  <c r="A42" i="1"/>
  <c r="A43" i="1"/>
  <c r="A45" i="1"/>
  <c r="A46" i="1"/>
  <c r="A47" i="1"/>
  <c r="A48" i="1"/>
  <c r="A49" i="1"/>
  <c r="A50" i="1"/>
  <c r="A51" i="1"/>
  <c r="A52" i="1"/>
  <c r="A53" i="1"/>
  <c r="A54" i="1"/>
  <c r="A55" i="1"/>
  <c r="A56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73" i="1"/>
  <c r="A74" i="1"/>
  <c r="A75" i="1"/>
  <c r="A76" i="1"/>
  <c r="A77" i="1"/>
  <c r="A78" i="1"/>
  <c r="A79" i="1"/>
  <c r="A80" i="1"/>
  <c r="A81" i="1"/>
  <c r="A82" i="1"/>
  <c r="A6" i="1"/>
  <c r="W3" i="2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6" i="1"/>
</calcChain>
</file>

<file path=xl/sharedStrings.xml><?xml version="1.0" encoding="utf-8"?>
<sst xmlns="http://schemas.openxmlformats.org/spreadsheetml/2006/main" count="86" uniqueCount="86">
  <si>
    <t>Data rate (kbps)</t>
  </si>
  <si>
    <t>TX Power (dBm)</t>
  </si>
  <si>
    <t>CR20232 lifetime (days)</t>
  </si>
  <si>
    <t>duty cycle (s)</t>
  </si>
  <si>
    <t>avg current  (uA)</t>
  </si>
  <si>
    <t>Battery</t>
  </si>
  <si>
    <t>CR2032</t>
  </si>
  <si>
    <t>mAh</t>
  </si>
  <si>
    <t>Transmission Event (uJ)</t>
  </si>
  <si>
    <t>Settings</t>
  </si>
  <si>
    <t>Event</t>
  </si>
  <si>
    <t>5kbps_0dbm</t>
  </si>
  <si>
    <t>5kbps_5dbm</t>
  </si>
  <si>
    <t>5kbps_15dbm</t>
  </si>
  <si>
    <t>10kbps_0dbm</t>
  </si>
  <si>
    <t>10kbps_15dbm</t>
  </si>
  <si>
    <t>10kbps_5dbm</t>
  </si>
  <si>
    <t>20kbps_0dbm</t>
  </si>
  <si>
    <t>20kbps_5dbm</t>
  </si>
  <si>
    <t>20kbps_15dbm</t>
  </si>
  <si>
    <t>50kbps_0dbm</t>
  </si>
  <si>
    <t>50kbps_5dbm</t>
  </si>
  <si>
    <t>50kbps_15dbm</t>
  </si>
  <si>
    <t>100kbps_0dbm</t>
  </si>
  <si>
    <t>100kbps_5dbm</t>
  </si>
  <si>
    <t>100kbps_15dbm</t>
  </si>
  <si>
    <t>125kbps_5dbm</t>
  </si>
  <si>
    <t>125kbps_0dbm</t>
  </si>
  <si>
    <t>125kbps_15dbm</t>
  </si>
  <si>
    <t>TX Zoom</t>
  </si>
  <si>
    <t>Transmission_EVENT\5kbps_0db_ZOOM.PNG</t>
  </si>
  <si>
    <t>Transmission_EVENT\5kbps_5db.PNG</t>
  </si>
  <si>
    <t>Transmission_EVENT\5kbps_5db_ZOOM.PNG</t>
  </si>
  <si>
    <t>Transmission_EVENT\5kbps_15db.PNG</t>
  </si>
  <si>
    <t>Transmission_EVENT\5kbps_15db_ZOOM.PNG</t>
  </si>
  <si>
    <t>Transmission_EVENT\10kbps_0db.PNG</t>
  </si>
  <si>
    <t>Transmission_EVENT\10kbps_0db_ZOOM.PNG</t>
  </si>
  <si>
    <t>Transmission_EVENT\10kbps_5db.PNG</t>
  </si>
  <si>
    <t>Transmission_EVENT\10kbps_5db_ZOOM.PNG</t>
  </si>
  <si>
    <t>Transmission_EVENT\10kbps_15db.PNG</t>
  </si>
  <si>
    <t>Transmission_EVENT\10kbps_15db_ZOOM.PNG</t>
  </si>
  <si>
    <t>Transmission_EVENT\20kbps_0db.PNG</t>
  </si>
  <si>
    <t>Transmission_EVENT\20kbps_0db_ZOOM.PNG</t>
  </si>
  <si>
    <t>Transmission_EVENT\20kbps_5db.PNG</t>
  </si>
  <si>
    <t>Transmission_EVENT\20kbps_5db_ZOOM.PNG</t>
  </si>
  <si>
    <t>Transmission_EVENT\20kbps_15db.PNG</t>
  </si>
  <si>
    <t>Transmission_EVENT\20kbps_15db_ZOOM.PNG</t>
  </si>
  <si>
    <t>Transmission_EVENT\50kbps_0db.PNG</t>
  </si>
  <si>
    <t>Transmission_EVENT\50kbps_0db_ZOOM.PNG</t>
  </si>
  <si>
    <t>Transmission_EVENT\50kbps_5db.PNG</t>
  </si>
  <si>
    <t>Transmission_EVENT\50kbps_5db_ZOOM.PNG</t>
  </si>
  <si>
    <t>Transmission_EVENT\50kbps_15db.PNG</t>
  </si>
  <si>
    <t>Transmission_EVENT\50kbps_15db_ZOOM.PNG</t>
  </si>
  <si>
    <t>Transmission_EVENT\100kbps_0db.PNG</t>
  </si>
  <si>
    <t>Transmission_EVENT\100kbps_0db_ZOOM.PNG</t>
  </si>
  <si>
    <t>Transmission_EVENT\100kbps_5db.PNG</t>
  </si>
  <si>
    <t>Transmission_EVENT\100kbps_5db_ZOOM.PNG</t>
  </si>
  <si>
    <t>Transmission_EVENT\100kbps_15db.PNG</t>
  </si>
  <si>
    <t>Transmission_EVENT\100kbps_15db_ZOOM.PNG</t>
  </si>
  <si>
    <t>Transmission_EVENT\125kbps_0db.PNG</t>
  </si>
  <si>
    <t>Transmission_EVENT\125kbps_0db_ZOOM.PNG</t>
  </si>
  <si>
    <t>Transmission_EVENT\125kbps_5db.PNG</t>
  </si>
  <si>
    <t>Transmission_EVENT\125kbps_5db_ZOOM.PNG</t>
  </si>
  <si>
    <t>Transmission_EVENT\125kbps_15db.PNG</t>
  </si>
  <si>
    <t>Transmission_EVENT\125kbps_15db_ZOOM.PNG</t>
  </si>
  <si>
    <t>kbps</t>
  </si>
  <si>
    <t>Data rate</t>
  </si>
  <si>
    <t>dBm</t>
  </si>
  <si>
    <t>TX Power</t>
  </si>
  <si>
    <t>seconds</t>
  </si>
  <si>
    <t>Duty Cycle</t>
  </si>
  <si>
    <t>BME 680 CURRENT CONSUMPTION (ENTIRE EVENT)</t>
  </si>
  <si>
    <t>BME 680 CURRENT CONSUMPTION (ZOOM ON TX EVENT)</t>
  </si>
  <si>
    <t>AXM0F243-Sense life time calculator</t>
  </si>
  <si>
    <t>DAYS</t>
  </si>
  <si>
    <t>LOOKUP_Value</t>
  </si>
  <si>
    <t>NOTE : LIFETIME IS UPDATED IN REALTIME
TO UPDATE GRAPH, PLEASE CLICK ON THE BUTTON</t>
  </si>
  <si>
    <t>µJ</t>
  </si>
  <si>
    <t>Transmission_EVENT\5kbps_0db.PNG</t>
  </si>
  <si>
    <t>µA</t>
  </si>
  <si>
    <t>BME 680 Event Energy Consumption</t>
  </si>
  <si>
    <t>AVERAGE CURRENT</t>
  </si>
  <si>
    <t>Settings : 
868.3 MHz ; FSK modulation ; Dual Ended PA
ONLY BME680 IS POWERED ON. FRAMING : Temp, Pressure, Humidity (4 bytes each)</t>
  </si>
  <si>
    <t>Tx_Duration (ms)</t>
  </si>
  <si>
    <t>TX DURATION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</si>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</sst>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72"/>
      <color rgb="FFFA7D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48"/>
      <color rgb="FFFA7D00"/>
      <name val="Calibri"/>
      <family val="2"/>
      <scheme val="minor"/>
    </font>
    <font>
      <b/>
      <sz val="150"/>
      <color rgb="FFFA7D00"/>
      <name val="Calibri"/>
      <family val="2"/>
      <scheme val="minor"/>
    </font>
    <font>
      <b/>
      <sz val="80"/>
      <color rgb="FFFA7D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3" borderId="0" applyNumberFormat="0" applyBorder="0" applyAlignment="0" applyProtection="0"/>
    <xf numFmtId="0" fontId="2" fillId="4" borderId="1" applyNumberFormat="0" applyAlignment="0" applyProtection="0"/>
    <xf numFmtId="0" fontId="3" fillId="5" borderId="1" applyNumberFormat="0" applyAlignment="0" applyProtection="0"/>
    <xf numFmtId="0" fontId="5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" fontId="0" fillId="0" borderId="0" xfId="0" applyNumberFormat="1"/>
    <xf numFmtId="1" fontId="0" fillId="2" borderId="0" xfId="0" applyNumberFormat="1" applyFill="1"/>
    <xf numFmtId="0" fontId="5" fillId="0" borderId="0" xfId="4"/>
    <xf numFmtId="0" fontId="0" fillId="0" borderId="0" xfId="0" applyAlignment="1"/>
    <xf numFmtId="0" fontId="1" fillId="3" borderId="0" xfId="1" applyAlignment="1"/>
    <xf numFmtId="0" fontId="0" fillId="8" borderId="0" xfId="0" applyFill="1"/>
    <xf numFmtId="0" fontId="4" fillId="8" borderId="0" xfId="0" applyFont="1" applyFill="1"/>
    <xf numFmtId="0" fontId="0" fillId="8" borderId="0" xfId="0" applyFill="1" applyAlignment="1"/>
    <xf numFmtId="0" fontId="10" fillId="8" borderId="0" xfId="0" applyFont="1" applyFill="1"/>
    <xf numFmtId="0" fontId="10" fillId="8" borderId="0" xfId="0" applyFont="1" applyFill="1" applyBorder="1"/>
    <xf numFmtId="0" fontId="8" fillId="8" borderId="0" xfId="3" applyFont="1" applyFill="1" applyBorder="1" applyAlignment="1">
      <alignment vertical="center"/>
    </xf>
    <xf numFmtId="0" fontId="1" fillId="8" borderId="0" xfId="1" applyFill="1" applyAlignment="1"/>
    <xf numFmtId="0" fontId="3" fillId="5" borderId="3" xfId="3" applyBorder="1" applyAlignment="1">
      <alignment horizontal="center"/>
    </xf>
    <xf numFmtId="0" fontId="3" fillId="5" borderId="4" xfId="3" applyBorder="1" applyAlignment="1">
      <alignment horizontal="center"/>
    </xf>
    <xf numFmtId="0" fontId="3" fillId="5" borderId="5" xfId="3" applyBorder="1" applyAlignment="1">
      <alignment horizontal="center"/>
    </xf>
    <xf numFmtId="0" fontId="8" fillId="5" borderId="6" xfId="3" applyFont="1" applyBorder="1" applyAlignment="1">
      <alignment horizontal="center"/>
    </xf>
    <xf numFmtId="0" fontId="8" fillId="5" borderId="2" xfId="3" applyFont="1" applyBorder="1" applyAlignment="1">
      <alignment horizontal="center"/>
    </xf>
    <xf numFmtId="0" fontId="8" fillId="5" borderId="8" xfId="3" applyFont="1" applyBorder="1" applyAlignment="1">
      <alignment horizontal="center"/>
    </xf>
    <xf numFmtId="0" fontId="8" fillId="5" borderId="9" xfId="3" applyFont="1" applyBorder="1" applyAlignment="1">
      <alignment horizontal="center"/>
    </xf>
    <xf numFmtId="0" fontId="3" fillId="5" borderId="2" xfId="3" applyBorder="1" applyAlignment="1">
      <alignment horizontal="center"/>
    </xf>
    <xf numFmtId="0" fontId="3" fillId="5" borderId="7" xfId="3" applyBorder="1" applyAlignment="1">
      <alignment horizontal="center"/>
    </xf>
    <xf numFmtId="0" fontId="3" fillId="5" borderId="9" xfId="3" applyBorder="1" applyAlignment="1">
      <alignment horizontal="center"/>
    </xf>
    <xf numFmtId="0" fontId="3" fillId="5" borderId="10" xfId="3" applyBorder="1" applyAlignment="1">
      <alignment horizontal="center"/>
    </xf>
    <xf numFmtId="1" fontId="12" fillId="5" borderId="3" xfId="3" applyNumberFormat="1" applyFont="1" applyBorder="1" applyAlignment="1">
      <alignment horizontal="center" vertical="center"/>
    </xf>
    <xf numFmtId="1" fontId="12" fillId="5" borderId="4" xfId="3" applyNumberFormat="1" applyFont="1" applyBorder="1" applyAlignment="1">
      <alignment horizontal="center" vertical="center"/>
    </xf>
    <xf numFmtId="1" fontId="12" fillId="5" borderId="6" xfId="3" applyNumberFormat="1" applyFont="1" applyBorder="1" applyAlignment="1">
      <alignment horizontal="center" vertical="center"/>
    </xf>
    <xf numFmtId="1" fontId="12" fillId="5" borderId="2" xfId="3" applyNumberFormat="1" applyFont="1" applyBorder="1" applyAlignment="1">
      <alignment horizontal="center" vertical="center"/>
    </xf>
    <xf numFmtId="1" fontId="12" fillId="5" borderId="8" xfId="3" applyNumberFormat="1" applyFont="1" applyBorder="1" applyAlignment="1">
      <alignment horizontal="center" vertical="center"/>
    </xf>
    <xf numFmtId="1" fontId="12" fillId="5" borderId="9" xfId="3" applyNumberFormat="1" applyFont="1" applyBorder="1" applyAlignment="1">
      <alignment horizontal="center" vertical="center"/>
    </xf>
    <xf numFmtId="0" fontId="11" fillId="5" borderId="4" xfId="3" applyFont="1" applyBorder="1" applyAlignment="1">
      <alignment horizontal="center" vertical="center"/>
    </xf>
    <xf numFmtId="0" fontId="13" fillId="5" borderId="4" xfId="3" applyFont="1" applyBorder="1" applyAlignment="1">
      <alignment horizontal="center" vertical="center"/>
    </xf>
    <xf numFmtId="0" fontId="13" fillId="5" borderId="5" xfId="3" applyFont="1" applyBorder="1" applyAlignment="1">
      <alignment horizontal="center" vertical="center"/>
    </xf>
    <xf numFmtId="0" fontId="13" fillId="5" borderId="2" xfId="3" applyFont="1" applyBorder="1" applyAlignment="1">
      <alignment horizontal="center" vertical="center"/>
    </xf>
    <xf numFmtId="0" fontId="13" fillId="5" borderId="7" xfId="3" applyFont="1" applyBorder="1" applyAlignment="1">
      <alignment horizontal="center" vertical="center"/>
    </xf>
    <xf numFmtId="0" fontId="13" fillId="5" borderId="9" xfId="3" applyFont="1" applyBorder="1" applyAlignment="1">
      <alignment horizontal="center" vertical="center"/>
    </xf>
    <xf numFmtId="0" fontId="13" fillId="5" borderId="10" xfId="3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2" fillId="4" borderId="1" xfId="2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9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11" fillId="5" borderId="6" xfId="3" applyFont="1" applyBorder="1" applyAlignment="1">
      <alignment horizontal="center" vertical="center"/>
    </xf>
    <xf numFmtId="0" fontId="11" fillId="5" borderId="2" xfId="3" applyFont="1" applyBorder="1" applyAlignment="1">
      <alignment horizontal="center" vertical="center"/>
    </xf>
    <xf numFmtId="0" fontId="11" fillId="5" borderId="8" xfId="3" applyFont="1" applyBorder="1" applyAlignment="1">
      <alignment horizontal="center" vertical="center"/>
    </xf>
    <xf numFmtId="0" fontId="11" fillId="5" borderId="9" xfId="3" applyFont="1" applyBorder="1" applyAlignment="1">
      <alignment horizontal="center" vertical="center"/>
    </xf>
    <xf numFmtId="0" fontId="8" fillId="5" borderId="2" xfId="3" applyFont="1" applyBorder="1" applyAlignment="1">
      <alignment horizontal="center" vertical="center"/>
    </xf>
    <xf numFmtId="0" fontId="8" fillId="5" borderId="7" xfId="3" applyFont="1" applyBorder="1" applyAlignment="1">
      <alignment horizontal="center" vertical="center"/>
    </xf>
    <xf numFmtId="0" fontId="8" fillId="5" borderId="9" xfId="3" applyFont="1" applyBorder="1" applyAlignment="1">
      <alignment horizontal="center" vertical="center"/>
    </xf>
    <xf numFmtId="0" fontId="8" fillId="5" borderId="10" xfId="3" applyFont="1" applyBorder="1" applyAlignment="1">
      <alignment horizontal="center" vertical="center"/>
    </xf>
    <xf numFmtId="0" fontId="8" fillId="5" borderId="6" xfId="3" applyFont="1" applyBorder="1" applyAlignment="1">
      <alignment horizontal="center" vertical="center"/>
    </xf>
    <xf numFmtId="0" fontId="8" fillId="5" borderId="8" xfId="3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5">
    <cellStyle name="Calculation" xfId="3" builtinId="22"/>
    <cellStyle name="Good" xfId="1" builtinId="26"/>
    <cellStyle name="Hyperlink" xfId="4" builtinId="8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zbg9qw\Desktop\Consumption_Report_BMEonly\Transmission_EVENT\20kbps_0db_ZOOM.PNG" TargetMode="External"/><Relationship Id="rId1" Type="http://schemas.openxmlformats.org/officeDocument/2006/relationships/image" Target="file:///C:\Users\zbg9qw\Desktop\Consumption_Report_BMEonly\Transmission_EVENT\20kbps_0db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17</xdr:row>
          <xdr:rowOff>28575</xdr:rowOff>
        </xdr:from>
        <xdr:to>
          <xdr:col>10</xdr:col>
          <xdr:colOff>371475</xdr:colOff>
          <xdr:row>24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EVENT CURRENT CONSUMPTION GRAPH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96114</xdr:colOff>
      <xdr:row>24</xdr:row>
      <xdr:rowOff>162538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705600" y="381000"/>
          <a:ext cx="6192114" cy="43916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27</xdr:row>
      <xdr:rowOff>0</xdr:rowOff>
    </xdr:from>
    <xdr:to>
      <xdr:col>21</xdr:col>
      <xdr:colOff>124693</xdr:colOff>
      <xdr:row>49</xdr:row>
      <xdr:rowOff>181588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705600" y="5191125"/>
          <a:ext cx="6220693" cy="43916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Transmission_EVENT\10kbps_0db_ZOOM.PNG" TargetMode="External"/><Relationship Id="rId13" Type="http://schemas.openxmlformats.org/officeDocument/2006/relationships/hyperlink" Target="Transmission_EVENT\20kbps_0db.PNG" TargetMode="External"/><Relationship Id="rId18" Type="http://schemas.openxmlformats.org/officeDocument/2006/relationships/hyperlink" Target="Transmission_EVENT\20kbps_15db_ZOOM.PNG" TargetMode="External"/><Relationship Id="rId26" Type="http://schemas.openxmlformats.org/officeDocument/2006/relationships/hyperlink" Target="Transmission_EVENT\100kbps_0db_ZOOM.PNG" TargetMode="External"/><Relationship Id="rId3" Type="http://schemas.openxmlformats.org/officeDocument/2006/relationships/hyperlink" Target="Transmission_EVENT\5kbps_5db.PNG" TargetMode="External"/><Relationship Id="rId21" Type="http://schemas.openxmlformats.org/officeDocument/2006/relationships/hyperlink" Target="Transmission_EVENT\50kbps_5db.PNG" TargetMode="External"/><Relationship Id="rId34" Type="http://schemas.openxmlformats.org/officeDocument/2006/relationships/hyperlink" Target="Transmission_EVENT\125kbps_5db_ZOOM.PNG" TargetMode="External"/><Relationship Id="rId7" Type="http://schemas.openxmlformats.org/officeDocument/2006/relationships/hyperlink" Target="Transmission_EVENT\10kbps_0db.PNG" TargetMode="External"/><Relationship Id="rId12" Type="http://schemas.openxmlformats.org/officeDocument/2006/relationships/hyperlink" Target="Transmission_EVENT\10kbps_15db_ZOOM.PNG" TargetMode="External"/><Relationship Id="rId17" Type="http://schemas.openxmlformats.org/officeDocument/2006/relationships/hyperlink" Target="Transmission_EVENT\20kbps_15db.PNG" TargetMode="External"/><Relationship Id="rId25" Type="http://schemas.openxmlformats.org/officeDocument/2006/relationships/hyperlink" Target="Transmission_EVENT\100kbps_0db.PNG" TargetMode="External"/><Relationship Id="rId33" Type="http://schemas.openxmlformats.org/officeDocument/2006/relationships/hyperlink" Target="Transmission_EVENT\125kbps_5db.PNG" TargetMode="External"/><Relationship Id="rId2" Type="http://schemas.openxmlformats.org/officeDocument/2006/relationships/hyperlink" Target="Transmission_EVENT\5kbps_0db_ZOOM.PNG" TargetMode="External"/><Relationship Id="rId16" Type="http://schemas.openxmlformats.org/officeDocument/2006/relationships/hyperlink" Target="Transmission_EVENT\20kbps_5db_ZOOM.PNG" TargetMode="External"/><Relationship Id="rId20" Type="http://schemas.openxmlformats.org/officeDocument/2006/relationships/hyperlink" Target="Transmission_EVENT\50kbps_0db_ZOOM.PNG" TargetMode="External"/><Relationship Id="rId29" Type="http://schemas.openxmlformats.org/officeDocument/2006/relationships/hyperlink" Target="Transmission_EVENT\100kbps_15db.PNG" TargetMode="External"/><Relationship Id="rId1" Type="http://schemas.openxmlformats.org/officeDocument/2006/relationships/hyperlink" Target="Transmission_EVENT\5kbps_0db.PNG" TargetMode="External"/><Relationship Id="rId6" Type="http://schemas.openxmlformats.org/officeDocument/2006/relationships/hyperlink" Target="Transmission_EVENT\5kbps_15db_ZOOM.PNG" TargetMode="External"/><Relationship Id="rId11" Type="http://schemas.openxmlformats.org/officeDocument/2006/relationships/hyperlink" Target="Transmission_EVENT\10kbps_15db.PNG" TargetMode="External"/><Relationship Id="rId24" Type="http://schemas.openxmlformats.org/officeDocument/2006/relationships/hyperlink" Target="Transmission_EVENT\50kbps_15db_ZOOM.PNG" TargetMode="External"/><Relationship Id="rId32" Type="http://schemas.openxmlformats.org/officeDocument/2006/relationships/hyperlink" Target="Transmission_EVENT\125kbps_0db_ZOOM.PNG" TargetMode="External"/><Relationship Id="rId5" Type="http://schemas.openxmlformats.org/officeDocument/2006/relationships/hyperlink" Target="Transmission_EVENT\5kbps_15db.PNG" TargetMode="External"/><Relationship Id="rId15" Type="http://schemas.openxmlformats.org/officeDocument/2006/relationships/hyperlink" Target="Transmission_EVENT\20kbps_5db.PNG" TargetMode="External"/><Relationship Id="rId23" Type="http://schemas.openxmlformats.org/officeDocument/2006/relationships/hyperlink" Target="Transmission_EVENT\50kbps_15db.PNG" TargetMode="External"/><Relationship Id="rId28" Type="http://schemas.openxmlformats.org/officeDocument/2006/relationships/hyperlink" Target="Transmission_EVENT\100kbps_5db_ZOOM.PNG" TargetMode="External"/><Relationship Id="rId36" Type="http://schemas.openxmlformats.org/officeDocument/2006/relationships/hyperlink" Target="Transmission_EVENT\125kbps_15db_ZOOM.PNG" TargetMode="External"/><Relationship Id="rId10" Type="http://schemas.openxmlformats.org/officeDocument/2006/relationships/hyperlink" Target="Transmission_EVENT\10kbps_5db_ZOOM.PNG" TargetMode="External"/><Relationship Id="rId19" Type="http://schemas.openxmlformats.org/officeDocument/2006/relationships/hyperlink" Target="Transmission_EVENT\50kbps_0db.PNG" TargetMode="External"/><Relationship Id="rId31" Type="http://schemas.openxmlformats.org/officeDocument/2006/relationships/hyperlink" Target="Transmission_EVENT\125kbps_0db.PNG" TargetMode="External"/><Relationship Id="rId4" Type="http://schemas.openxmlformats.org/officeDocument/2006/relationships/hyperlink" Target="Transmission_EVENT\5kbps_5db_ZOOM.PNG" TargetMode="External"/><Relationship Id="rId9" Type="http://schemas.openxmlformats.org/officeDocument/2006/relationships/hyperlink" Target="Transmission_EVENT\10kbps_5db.PNG" TargetMode="External"/><Relationship Id="rId14" Type="http://schemas.openxmlformats.org/officeDocument/2006/relationships/hyperlink" Target="Transmission_EVENT\20kbps_0db_ZOOM.PNG" TargetMode="External"/><Relationship Id="rId22" Type="http://schemas.openxmlformats.org/officeDocument/2006/relationships/hyperlink" Target="Transmission_EVENT\50kbps_5db_ZOOM.PNG" TargetMode="External"/><Relationship Id="rId27" Type="http://schemas.openxmlformats.org/officeDocument/2006/relationships/hyperlink" Target="Transmission_EVENT\100kbps_5db.PNG" TargetMode="External"/><Relationship Id="rId30" Type="http://schemas.openxmlformats.org/officeDocument/2006/relationships/hyperlink" Target="Transmission_EVENT\100kbps_15db_ZOOM.PNG" TargetMode="External"/><Relationship Id="rId35" Type="http://schemas.openxmlformats.org/officeDocument/2006/relationships/hyperlink" Target="Transmission_EVENT\125kbps_15db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39"/>
  <sheetViews>
    <sheetView tabSelected="1" zoomScaleNormal="100" workbookViewId="0">
      <selection activeCell="L28" sqref="L28"/>
    </sheetView>
  </sheetViews>
  <sheetFormatPr defaultRowHeight="15" x14ac:dyDescent="0.25"/>
  <cols>
    <col min="1" max="21" width="9.140625" style="7"/>
    <col min="22" max="22" width="9.140625" style="8"/>
    <col min="23" max="23" width="11" style="8" customWidth="1"/>
    <col min="24" max="29" width="9.140625" style="8"/>
    <col min="30" max="101" width="9.140625" style="7"/>
  </cols>
  <sheetData>
    <row r="1" spans="1:101" s="5" customFormat="1" x14ac:dyDescent="0.25">
      <c r="A1" s="41" t="s">
        <v>73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38" t="s">
        <v>71</v>
      </c>
      <c r="M1" s="38"/>
      <c r="N1" s="38"/>
      <c r="O1" s="38"/>
      <c r="P1" s="38"/>
      <c r="Q1" s="38"/>
      <c r="R1" s="38"/>
      <c r="S1" s="38"/>
      <c r="T1" s="38"/>
      <c r="U1" s="38"/>
      <c r="V1" s="10"/>
      <c r="W1" s="10"/>
      <c r="X1" s="10"/>
      <c r="Y1" s="10"/>
      <c r="Z1" s="10"/>
      <c r="AA1" s="10"/>
      <c r="AB1" s="8"/>
      <c r="AC1" s="8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</row>
    <row r="2" spans="1:101" s="5" customForma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38"/>
      <c r="M2" s="38"/>
      <c r="N2" s="38"/>
      <c r="O2" s="38"/>
      <c r="P2" s="38"/>
      <c r="Q2" s="38"/>
      <c r="R2" s="38"/>
      <c r="S2" s="38"/>
      <c r="T2" s="38"/>
      <c r="U2" s="38"/>
      <c r="V2" s="10"/>
      <c r="W2" s="8" t="str">
        <f>VLOOKUP(CONCATENATE(D18,"kbps_",D21,"dbm"),Picture!A1:C19,2,FALSE)</f>
        <v>Transmission_EVENT\20kbps_0db.PNG</v>
      </c>
      <c r="X2" s="10"/>
      <c r="Y2" s="10"/>
      <c r="Z2" s="10"/>
      <c r="AA2" s="10"/>
      <c r="AB2" s="8"/>
      <c r="AC2" s="8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</row>
    <row r="3" spans="1:101" s="5" customForma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9"/>
      <c r="M3" s="9"/>
      <c r="N3" s="9"/>
      <c r="O3" s="9"/>
      <c r="P3" s="9"/>
      <c r="Q3" s="9"/>
      <c r="R3" s="9"/>
      <c r="S3" s="9"/>
      <c r="T3" s="9"/>
      <c r="U3" s="9"/>
      <c r="V3" s="10"/>
      <c r="W3" s="8" t="str">
        <f>VLOOKUP(CONCATENATE(D18,"kbps_",D21,"dbm"),Picture!A1:C19,3,FALSE)</f>
        <v>Transmission_EVENT\20kbps_0db_ZOOM.PNG</v>
      </c>
      <c r="X3" s="10"/>
      <c r="Y3" s="10"/>
      <c r="Z3" s="10"/>
      <c r="AA3" s="10"/>
      <c r="AB3" s="8"/>
      <c r="AC3" s="8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</row>
    <row r="4" spans="1:101" s="5" customFormat="1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9"/>
      <c r="M4" s="9"/>
      <c r="N4" s="9"/>
      <c r="O4" s="9"/>
      <c r="P4" s="9"/>
      <c r="Q4" s="9"/>
      <c r="R4" s="9"/>
      <c r="S4" s="9"/>
      <c r="T4" s="9"/>
      <c r="U4" s="9"/>
      <c r="V4" s="10"/>
      <c r="W4" s="10"/>
      <c r="X4" s="10"/>
      <c r="Y4" s="10"/>
      <c r="Z4" s="10"/>
      <c r="AA4" s="10"/>
      <c r="AB4" s="8"/>
      <c r="AC4" s="8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</row>
    <row r="5" spans="1:101" s="5" customFormat="1" ht="15.75" thickBot="1" x14ac:dyDescent="0.3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9"/>
      <c r="M5" s="9"/>
      <c r="N5" s="9"/>
      <c r="O5" s="9"/>
      <c r="P5" s="9"/>
      <c r="Q5" s="9"/>
      <c r="R5" s="9"/>
      <c r="S5" s="9"/>
      <c r="T5" s="9"/>
      <c r="U5" s="9"/>
      <c r="V5" s="8"/>
      <c r="W5" s="8"/>
      <c r="X5" s="8"/>
      <c r="Y5" s="8"/>
      <c r="Z5" s="8"/>
      <c r="AA5" s="8"/>
      <c r="AB5" s="8"/>
      <c r="AC5" s="8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</row>
    <row r="6" spans="1:101" s="5" customFormat="1" x14ac:dyDescent="0.25">
      <c r="A6" s="42" t="s">
        <v>82</v>
      </c>
      <c r="B6" s="43"/>
      <c r="C6" s="43"/>
      <c r="D6" s="43"/>
      <c r="E6" s="43"/>
      <c r="F6" s="43"/>
      <c r="G6" s="43"/>
      <c r="H6" s="43"/>
      <c r="I6" s="43"/>
      <c r="J6" s="43"/>
      <c r="K6" s="43"/>
      <c r="L6" s="9"/>
      <c r="M6" s="9"/>
      <c r="N6" s="9"/>
      <c r="O6" s="9"/>
      <c r="P6" s="9"/>
      <c r="Q6" s="9"/>
      <c r="R6" s="9"/>
      <c r="S6" s="9"/>
      <c r="T6" s="9"/>
      <c r="U6" s="9"/>
      <c r="V6" s="8"/>
      <c r="W6" s="14" t="s">
        <v>80</v>
      </c>
      <c r="X6" s="15"/>
      <c r="Y6" s="15"/>
      <c r="Z6" s="15"/>
      <c r="AA6" s="15"/>
      <c r="AB6" s="16"/>
      <c r="AC6" s="8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</row>
    <row r="7" spans="1:101" s="5" customFormat="1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9"/>
      <c r="M7" s="9"/>
      <c r="N7" s="9"/>
      <c r="O7" s="9"/>
      <c r="P7" s="9"/>
      <c r="Q7" s="9"/>
      <c r="R7" s="9"/>
      <c r="S7" s="9"/>
      <c r="T7" s="9"/>
      <c r="U7" s="9"/>
      <c r="V7" s="8"/>
      <c r="W7" s="46">
        <f>VLOOKUP(CONCATENATE(D18,"kbps_",D21,"dbm_",D24,"s"),Data!A6:G82,7,FALSE)</f>
        <v>1670</v>
      </c>
      <c r="X7" s="47"/>
      <c r="Y7" s="47"/>
      <c r="Z7" s="50" t="s">
        <v>77</v>
      </c>
      <c r="AA7" s="50"/>
      <c r="AB7" s="51"/>
      <c r="AC7" s="8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</row>
    <row r="8" spans="1:101" s="5" customFormat="1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9"/>
      <c r="M8" s="9"/>
      <c r="N8" s="9"/>
      <c r="O8" s="9"/>
      <c r="P8" s="9"/>
      <c r="Q8" s="9"/>
      <c r="R8" s="9"/>
      <c r="S8" s="9"/>
      <c r="T8" s="9"/>
      <c r="U8" s="9"/>
      <c r="V8" s="8"/>
      <c r="W8" s="46"/>
      <c r="X8" s="47"/>
      <c r="Y8" s="47"/>
      <c r="Z8" s="50"/>
      <c r="AA8" s="50"/>
      <c r="AB8" s="51"/>
      <c r="AC8" s="8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</row>
    <row r="9" spans="1:101" s="6" customFormat="1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9"/>
      <c r="M9" s="9"/>
      <c r="N9" s="9"/>
      <c r="O9" s="9"/>
      <c r="P9" s="9"/>
      <c r="Q9" s="7"/>
      <c r="R9" s="7"/>
      <c r="S9" s="7"/>
      <c r="T9" s="7"/>
      <c r="U9" s="7"/>
      <c r="V9" s="8"/>
      <c r="W9" s="46"/>
      <c r="X9" s="47"/>
      <c r="Y9" s="47"/>
      <c r="Z9" s="50"/>
      <c r="AA9" s="50"/>
      <c r="AB9" s="51"/>
      <c r="AC9" s="8"/>
      <c r="AD9" s="7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</row>
    <row r="10" spans="1:101" s="6" customFormat="1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9"/>
      <c r="M10" s="9"/>
      <c r="N10" s="9"/>
      <c r="O10" s="9"/>
      <c r="P10" s="9"/>
      <c r="Q10" s="7"/>
      <c r="R10" s="7"/>
      <c r="S10" s="7"/>
      <c r="T10" s="7"/>
      <c r="U10" s="7"/>
      <c r="V10" s="8"/>
      <c r="W10" s="46"/>
      <c r="X10" s="47"/>
      <c r="Y10" s="47"/>
      <c r="Z10" s="50"/>
      <c r="AA10" s="50"/>
      <c r="AB10" s="51"/>
      <c r="AC10" s="8"/>
      <c r="AD10" s="7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</row>
    <row r="11" spans="1:101" s="6" customFormat="1" x14ac:dyDescent="0.25">
      <c r="A11" s="44" t="s">
        <v>76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9"/>
      <c r="M11" s="9"/>
      <c r="N11" s="9"/>
      <c r="O11" s="9"/>
      <c r="P11" s="9"/>
      <c r="Q11" s="7"/>
      <c r="R11" s="7"/>
      <c r="S11" s="7"/>
      <c r="T11" s="7"/>
      <c r="U11" s="7"/>
      <c r="V11" s="8"/>
      <c r="W11" s="46"/>
      <c r="X11" s="47"/>
      <c r="Y11" s="47"/>
      <c r="Z11" s="50"/>
      <c r="AA11" s="50"/>
      <c r="AB11" s="51"/>
      <c r="AC11" s="8"/>
      <c r="AD11" s="7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</row>
    <row r="12" spans="1:101" s="6" customFormat="1" ht="15.75" thickBot="1" x14ac:dyDescent="0.3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9"/>
      <c r="M12" s="9"/>
      <c r="N12" s="9"/>
      <c r="O12" s="9"/>
      <c r="P12" s="9"/>
      <c r="Q12" s="7"/>
      <c r="R12" s="7"/>
      <c r="S12" s="7"/>
      <c r="T12" s="7"/>
      <c r="U12" s="7"/>
      <c r="V12" s="8"/>
      <c r="W12" s="48"/>
      <c r="X12" s="49"/>
      <c r="Y12" s="49"/>
      <c r="Z12" s="52"/>
      <c r="AA12" s="52"/>
      <c r="AB12" s="53"/>
      <c r="AC12" s="8"/>
      <c r="AD12" s="7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</row>
    <row r="13" spans="1:10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</row>
    <row r="14" spans="1:10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</row>
    <row r="17" spans="1:28" ht="15.75" thickBot="1" x14ac:dyDescent="0.3"/>
    <row r="18" spans="1:28" x14ac:dyDescent="0.25">
      <c r="A18" s="39" t="s">
        <v>66</v>
      </c>
      <c r="B18" s="39"/>
      <c r="C18" s="39"/>
      <c r="D18" s="40">
        <v>20</v>
      </c>
      <c r="E18" s="40"/>
      <c r="F18" s="40"/>
      <c r="G18" s="7" t="s">
        <v>65</v>
      </c>
      <c r="W18" s="14" t="s">
        <v>81</v>
      </c>
      <c r="X18" s="15"/>
      <c r="Y18" s="15"/>
      <c r="Z18" s="15"/>
      <c r="AA18" s="15"/>
      <c r="AB18" s="16"/>
    </row>
    <row r="19" spans="1:28" x14ac:dyDescent="0.25">
      <c r="W19" s="54">
        <f>VLOOKUP(CONCATENATE(D18,"kbps_",D21,"dbm_",D24,"s"),Data!A6:G82,5,FALSE)</f>
        <v>23</v>
      </c>
      <c r="X19" s="50"/>
      <c r="Y19" s="50"/>
      <c r="Z19" s="50" t="s">
        <v>79</v>
      </c>
      <c r="AA19" s="50"/>
      <c r="AB19" s="51"/>
    </row>
    <row r="20" spans="1:28" x14ac:dyDescent="0.25">
      <c r="W20" s="54"/>
      <c r="X20" s="50"/>
      <c r="Y20" s="50"/>
      <c r="Z20" s="50"/>
      <c r="AA20" s="50"/>
      <c r="AB20" s="51"/>
    </row>
    <row r="21" spans="1:28" x14ac:dyDescent="0.25">
      <c r="A21" s="39" t="s">
        <v>68</v>
      </c>
      <c r="B21" s="39"/>
      <c r="C21" s="39"/>
      <c r="D21" s="40">
        <v>0</v>
      </c>
      <c r="E21" s="40"/>
      <c r="F21" s="40"/>
      <c r="G21" s="7" t="s">
        <v>67</v>
      </c>
      <c r="W21" s="54"/>
      <c r="X21" s="50"/>
      <c r="Y21" s="50"/>
      <c r="Z21" s="50"/>
      <c r="AA21" s="50"/>
      <c r="AB21" s="51"/>
    </row>
    <row r="22" spans="1:28" x14ac:dyDescent="0.25">
      <c r="W22" s="54"/>
      <c r="X22" s="50"/>
      <c r="Y22" s="50"/>
      <c r="Z22" s="50"/>
      <c r="AA22" s="50"/>
      <c r="AB22" s="51"/>
    </row>
    <row r="23" spans="1:28" x14ac:dyDescent="0.25">
      <c r="W23" s="54"/>
      <c r="X23" s="50"/>
      <c r="Y23" s="50"/>
      <c r="Z23" s="50"/>
      <c r="AA23" s="50"/>
      <c r="AB23" s="51"/>
    </row>
    <row r="24" spans="1:28" ht="15.75" thickBot="1" x14ac:dyDescent="0.3">
      <c r="A24" s="39" t="s">
        <v>70</v>
      </c>
      <c r="B24" s="39"/>
      <c r="C24" s="39"/>
      <c r="D24" s="40">
        <v>30</v>
      </c>
      <c r="E24" s="40"/>
      <c r="F24" s="40"/>
      <c r="G24" s="7" t="s">
        <v>69</v>
      </c>
      <c r="W24" s="55"/>
      <c r="X24" s="52"/>
      <c r="Y24" s="52"/>
      <c r="Z24" s="52"/>
      <c r="AA24" s="52"/>
      <c r="AB24" s="53"/>
    </row>
    <row r="26" spans="1:28" ht="15.75" thickBot="1" x14ac:dyDescent="0.3">
      <c r="L26" s="38" t="s">
        <v>72</v>
      </c>
      <c r="M26" s="38"/>
      <c r="N26" s="38"/>
      <c r="O26" s="38"/>
      <c r="P26" s="38"/>
      <c r="Q26" s="38"/>
      <c r="R26" s="38"/>
      <c r="S26" s="38"/>
      <c r="T26" s="38"/>
      <c r="U26" s="38"/>
    </row>
    <row r="27" spans="1:28" ht="15" customHeight="1" thickBot="1" x14ac:dyDescent="0.3">
      <c r="A27" s="25">
        <f>VLOOKUP(CONCATENATE(D18,"kbps_",D21,"dbm_",D24,"s"),Data!A6:G82,6,FALSE)</f>
        <v>380.43478260869563</v>
      </c>
      <c r="B27" s="26"/>
      <c r="C27" s="26"/>
      <c r="D27" s="26"/>
      <c r="E27" s="26"/>
      <c r="F27" s="26"/>
      <c r="G27" s="26"/>
      <c r="H27" s="31" t="s">
        <v>74</v>
      </c>
      <c r="I27" s="32"/>
      <c r="J27" s="33"/>
      <c r="K27" s="12"/>
      <c r="L27" s="38"/>
      <c r="M27" s="38"/>
      <c r="N27" s="38"/>
      <c r="O27" s="38"/>
      <c r="P27" s="38"/>
      <c r="Q27" s="38"/>
      <c r="R27" s="38"/>
      <c r="S27" s="38"/>
      <c r="T27" s="38"/>
      <c r="U27" s="38"/>
    </row>
    <row r="28" spans="1:28" ht="15" customHeight="1" x14ac:dyDescent="0.25">
      <c r="A28" s="27"/>
      <c r="B28" s="28"/>
      <c r="C28" s="28"/>
      <c r="D28" s="28"/>
      <c r="E28" s="28"/>
      <c r="F28" s="28"/>
      <c r="G28" s="28"/>
      <c r="H28" s="34"/>
      <c r="I28" s="34"/>
      <c r="J28" s="35"/>
      <c r="K28" s="12"/>
      <c r="W28" s="14" t="s">
        <v>84</v>
      </c>
      <c r="X28" s="15"/>
      <c r="Y28" s="15"/>
      <c r="Z28" s="15"/>
      <c r="AA28" s="15"/>
      <c r="AB28" s="16"/>
    </row>
    <row r="29" spans="1:28" ht="15" customHeight="1" x14ac:dyDescent="0.25">
      <c r="A29" s="27"/>
      <c r="B29" s="28"/>
      <c r="C29" s="28"/>
      <c r="D29" s="28"/>
      <c r="E29" s="28"/>
      <c r="F29" s="28"/>
      <c r="G29" s="28"/>
      <c r="H29" s="34"/>
      <c r="I29" s="34"/>
      <c r="J29" s="35"/>
      <c r="K29" s="12"/>
      <c r="W29" s="17">
        <f>VLOOKUP(CONCATENATE(D18,"kbps_",D21,"dbm"),Picture!A1:D19,4,FALSE)</f>
        <v>15</v>
      </c>
      <c r="X29" s="18"/>
      <c r="Y29" s="18"/>
      <c r="Z29" s="18" t="s">
        <v>85</v>
      </c>
      <c r="AA29" s="21"/>
      <c r="AB29" s="22"/>
    </row>
    <row r="30" spans="1:28" ht="15" customHeight="1" x14ac:dyDescent="0.25">
      <c r="A30" s="27"/>
      <c r="B30" s="28"/>
      <c r="C30" s="28"/>
      <c r="D30" s="28"/>
      <c r="E30" s="28"/>
      <c r="F30" s="28"/>
      <c r="G30" s="28"/>
      <c r="H30" s="34"/>
      <c r="I30" s="34"/>
      <c r="J30" s="35"/>
      <c r="K30" s="12"/>
      <c r="W30" s="17"/>
      <c r="X30" s="18"/>
      <c r="Y30" s="18"/>
      <c r="Z30" s="21"/>
      <c r="AA30" s="21"/>
      <c r="AB30" s="22"/>
    </row>
    <row r="31" spans="1:28" ht="15" customHeight="1" x14ac:dyDescent="0.25">
      <c r="A31" s="27"/>
      <c r="B31" s="28"/>
      <c r="C31" s="28"/>
      <c r="D31" s="28"/>
      <c r="E31" s="28"/>
      <c r="F31" s="28"/>
      <c r="G31" s="28"/>
      <c r="H31" s="34"/>
      <c r="I31" s="34"/>
      <c r="J31" s="35"/>
      <c r="K31" s="12"/>
      <c r="W31" s="17"/>
      <c r="X31" s="18"/>
      <c r="Y31" s="18"/>
      <c r="Z31" s="21"/>
      <c r="AA31" s="21"/>
      <c r="AB31" s="22"/>
    </row>
    <row r="32" spans="1:28" ht="15.75" customHeight="1" x14ac:dyDescent="0.25">
      <c r="A32" s="27"/>
      <c r="B32" s="28"/>
      <c r="C32" s="28"/>
      <c r="D32" s="28"/>
      <c r="E32" s="28"/>
      <c r="F32" s="28"/>
      <c r="G32" s="28"/>
      <c r="H32" s="34"/>
      <c r="I32" s="34"/>
      <c r="J32" s="35"/>
      <c r="K32" s="12"/>
      <c r="W32" s="17"/>
      <c r="X32" s="18"/>
      <c r="Y32" s="18"/>
      <c r="Z32" s="21"/>
      <c r="AA32" s="21"/>
      <c r="AB32" s="22"/>
    </row>
    <row r="33" spans="1:28" ht="15" customHeight="1" x14ac:dyDescent="0.25">
      <c r="A33" s="27"/>
      <c r="B33" s="28"/>
      <c r="C33" s="28"/>
      <c r="D33" s="28"/>
      <c r="E33" s="28"/>
      <c r="F33" s="28"/>
      <c r="G33" s="28"/>
      <c r="H33" s="34"/>
      <c r="I33" s="34"/>
      <c r="J33" s="35"/>
      <c r="K33" s="12"/>
      <c r="W33" s="17"/>
      <c r="X33" s="18"/>
      <c r="Y33" s="18"/>
      <c r="Z33" s="21"/>
      <c r="AA33" s="21"/>
      <c r="AB33" s="22"/>
    </row>
    <row r="34" spans="1:28" ht="15" customHeight="1" thickBot="1" x14ac:dyDescent="0.3">
      <c r="A34" s="27"/>
      <c r="B34" s="28"/>
      <c r="C34" s="28"/>
      <c r="D34" s="28"/>
      <c r="E34" s="28"/>
      <c r="F34" s="28"/>
      <c r="G34" s="28"/>
      <c r="H34" s="34"/>
      <c r="I34" s="34"/>
      <c r="J34" s="35"/>
      <c r="K34" s="12"/>
      <c r="W34" s="19"/>
      <c r="X34" s="20"/>
      <c r="Y34" s="20"/>
      <c r="Z34" s="23"/>
      <c r="AA34" s="23"/>
      <c r="AB34" s="24"/>
    </row>
    <row r="35" spans="1:28" ht="15" customHeight="1" x14ac:dyDescent="0.25">
      <c r="A35" s="27"/>
      <c r="B35" s="28"/>
      <c r="C35" s="28"/>
      <c r="D35" s="28"/>
      <c r="E35" s="28"/>
      <c r="F35" s="28"/>
      <c r="G35" s="28"/>
      <c r="H35" s="34"/>
      <c r="I35" s="34"/>
      <c r="J35" s="35"/>
      <c r="K35" s="12"/>
    </row>
    <row r="36" spans="1:28" ht="15" customHeight="1" x14ac:dyDescent="0.25">
      <c r="A36" s="27"/>
      <c r="B36" s="28"/>
      <c r="C36" s="28"/>
      <c r="D36" s="28"/>
      <c r="E36" s="28"/>
      <c r="F36" s="28"/>
      <c r="G36" s="28"/>
      <c r="H36" s="34"/>
      <c r="I36" s="34"/>
      <c r="J36" s="35"/>
      <c r="K36" s="12"/>
    </row>
    <row r="37" spans="1:28" ht="15" customHeight="1" x14ac:dyDescent="0.25">
      <c r="A37" s="27"/>
      <c r="B37" s="28"/>
      <c r="C37" s="28"/>
      <c r="D37" s="28"/>
      <c r="E37" s="28"/>
      <c r="F37" s="28"/>
      <c r="G37" s="28"/>
      <c r="H37" s="34"/>
      <c r="I37" s="34"/>
      <c r="J37" s="35"/>
      <c r="K37" s="12"/>
    </row>
    <row r="38" spans="1:28" ht="15.75" customHeight="1" thickBot="1" x14ac:dyDescent="0.3">
      <c r="A38" s="29"/>
      <c r="B38" s="30"/>
      <c r="C38" s="30"/>
      <c r="D38" s="30"/>
      <c r="E38" s="30"/>
      <c r="F38" s="30"/>
      <c r="G38" s="30"/>
      <c r="H38" s="36"/>
      <c r="I38" s="36"/>
      <c r="J38" s="37"/>
      <c r="K38" s="12"/>
    </row>
    <row r="39" spans="1:28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</row>
  </sheetData>
  <mergeCells count="22">
    <mergeCell ref="W7:Y12"/>
    <mergeCell ref="Z7:AB12"/>
    <mergeCell ref="W6:AB6"/>
    <mergeCell ref="W18:AB18"/>
    <mergeCell ref="W19:Y24"/>
    <mergeCell ref="Z19:AB24"/>
    <mergeCell ref="A24:C24"/>
    <mergeCell ref="D24:F24"/>
    <mergeCell ref="L1:U2"/>
    <mergeCell ref="D18:F18"/>
    <mergeCell ref="A18:C18"/>
    <mergeCell ref="A1:K5"/>
    <mergeCell ref="A6:K10"/>
    <mergeCell ref="A11:K14"/>
    <mergeCell ref="A21:C21"/>
    <mergeCell ref="D21:F21"/>
    <mergeCell ref="W28:AB28"/>
    <mergeCell ref="W29:Y34"/>
    <mergeCell ref="Z29:AB34"/>
    <mergeCell ref="A27:G38"/>
    <mergeCell ref="H27:J38"/>
    <mergeCell ref="L26:U27"/>
  </mergeCells>
  <dataValidations count="3">
    <dataValidation type="list" allowBlank="1" showInputMessage="1" showErrorMessage="1" promptTitle="Data rate" prompt="Select a data rate" sqref="D18:F18">
      <formula1>"5,10,20,50,100,125"</formula1>
    </dataValidation>
    <dataValidation type="list" allowBlank="1" showInputMessage="1" showErrorMessage="1" promptTitle="TX Power" prompt="Select a TX Power in dBm" sqref="D21:F21">
      <formula1>"0,5,15"</formula1>
    </dataValidation>
    <dataValidation type="list" allowBlank="1" showInputMessage="1" showErrorMessage="1" promptTitle="Duty Cycle" prompt="Select duty cycle (time between two sending)" sqref="D24:F24">
      <formula1>"5,10,30,60"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ow_Image">
                <anchor moveWithCells="1" sizeWithCells="1">
                  <from>
                    <xdr:col>7</xdr:col>
                    <xdr:colOff>123825</xdr:colOff>
                    <xdr:row>17</xdr:row>
                    <xdr:rowOff>28575</xdr:rowOff>
                  </from>
                  <to>
                    <xdr:col>10</xdr:col>
                    <xdr:colOff>371475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13"/>
  <sheetViews>
    <sheetView topLeftCell="A31" workbookViewId="0">
      <selection activeCell="F58" sqref="F58"/>
    </sheetView>
  </sheetViews>
  <sheetFormatPr defaultRowHeight="15" x14ac:dyDescent="0.25"/>
  <cols>
    <col min="1" max="1" width="18.85546875" customWidth="1"/>
    <col min="2" max="2" width="19.5703125" customWidth="1"/>
    <col min="3" max="3" width="16.85546875" customWidth="1"/>
    <col min="4" max="4" width="22.7109375" customWidth="1"/>
    <col min="5" max="5" width="25.140625" customWidth="1"/>
    <col min="6" max="6" width="24" customWidth="1"/>
    <col min="7" max="7" width="21.28515625" customWidth="1"/>
  </cols>
  <sheetData>
    <row r="1" spans="1:22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</row>
    <row r="2" spans="1:22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</row>
    <row r="3" spans="1:22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</row>
    <row r="4" spans="1:22" x14ac:dyDescent="0.2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x14ac:dyDescent="0.25">
      <c r="A5" t="s">
        <v>75</v>
      </c>
      <c r="B5" t="s">
        <v>0</v>
      </c>
      <c r="C5" t="s">
        <v>1</v>
      </c>
      <c r="D5" t="s">
        <v>3</v>
      </c>
      <c r="E5" t="s">
        <v>4</v>
      </c>
      <c r="F5" t="s">
        <v>2</v>
      </c>
      <c r="G5" t="s">
        <v>8</v>
      </c>
      <c r="L5" t="s">
        <v>5</v>
      </c>
      <c r="M5" t="s">
        <v>6</v>
      </c>
      <c r="N5">
        <v>210</v>
      </c>
      <c r="O5" t="s">
        <v>7</v>
      </c>
    </row>
    <row r="6" spans="1:22" x14ac:dyDescent="0.25">
      <c r="A6" t="str">
        <f>CONCATENATE(B6,"kbps_",C6,"dbm_",D6,"s")</f>
        <v>5kbps_0dbm_5s</v>
      </c>
      <c r="B6">
        <v>5</v>
      </c>
      <c r="C6">
        <v>0</v>
      </c>
      <c r="D6">
        <v>5</v>
      </c>
      <c r="E6">
        <v>285</v>
      </c>
      <c r="F6" s="2">
        <f t="shared" ref="F6:F37" si="0">($N$5*3.6)/(E6*0.000001*3600*24)</f>
        <v>30.701754385964911</v>
      </c>
      <c r="G6">
        <v>4460</v>
      </c>
    </row>
    <row r="7" spans="1:22" x14ac:dyDescent="0.25">
      <c r="A7" t="str">
        <f t="shared" ref="A7:A69" si="1">CONCATENATE(B7,"kbps_",C7,"dbm_",D7,"s")</f>
        <v>5kbps_0dbm_10s</v>
      </c>
      <c r="B7">
        <v>5</v>
      </c>
      <c r="C7">
        <v>0</v>
      </c>
      <c r="D7">
        <v>10</v>
      </c>
      <c r="E7">
        <v>146</v>
      </c>
      <c r="F7" s="2">
        <f t="shared" si="0"/>
        <v>59.93150684931507</v>
      </c>
      <c r="G7">
        <v>4460</v>
      </c>
    </row>
    <row r="8" spans="1:22" x14ac:dyDescent="0.25">
      <c r="A8" t="str">
        <f t="shared" si="1"/>
        <v>5kbps_0dbm_30s</v>
      </c>
      <c r="B8">
        <v>5</v>
      </c>
      <c r="C8">
        <v>0</v>
      </c>
      <c r="D8">
        <v>30</v>
      </c>
      <c r="E8">
        <v>56</v>
      </c>
      <c r="F8" s="2">
        <f t="shared" si="0"/>
        <v>156.25</v>
      </c>
      <c r="G8">
        <v>4460</v>
      </c>
    </row>
    <row r="9" spans="1:22" x14ac:dyDescent="0.25">
      <c r="A9" t="str">
        <f t="shared" si="1"/>
        <v>5kbps_0dbm_60s</v>
      </c>
      <c r="B9">
        <v>5</v>
      </c>
      <c r="C9">
        <v>0</v>
      </c>
      <c r="D9">
        <v>60</v>
      </c>
      <c r="E9">
        <v>35</v>
      </c>
      <c r="F9" s="2">
        <f t="shared" si="0"/>
        <v>250</v>
      </c>
      <c r="G9">
        <v>4460</v>
      </c>
    </row>
    <row r="10" spans="1:22" x14ac:dyDescent="0.25">
      <c r="A10" t="str">
        <f t="shared" si="1"/>
        <v>5kbps_5dbm_5s</v>
      </c>
      <c r="B10">
        <v>5</v>
      </c>
      <c r="C10">
        <v>5</v>
      </c>
      <c r="D10">
        <v>5</v>
      </c>
      <c r="E10">
        <v>330</v>
      </c>
      <c r="F10" s="2">
        <f t="shared" si="0"/>
        <v>26.515151515151516</v>
      </c>
      <c r="G10">
        <v>5190</v>
      </c>
    </row>
    <row r="11" spans="1:22" x14ac:dyDescent="0.25">
      <c r="A11" t="str">
        <f t="shared" si="1"/>
        <v>5kbps_5dbm_10s</v>
      </c>
      <c r="B11">
        <v>5</v>
      </c>
      <c r="C11">
        <v>5</v>
      </c>
      <c r="D11">
        <v>10</v>
      </c>
      <c r="E11">
        <v>175</v>
      </c>
      <c r="F11" s="2">
        <f t="shared" si="0"/>
        <v>50</v>
      </c>
      <c r="G11">
        <v>5190</v>
      </c>
    </row>
    <row r="12" spans="1:22" x14ac:dyDescent="0.25">
      <c r="A12" t="str">
        <f t="shared" si="1"/>
        <v>5kbps_5dbm_30s</v>
      </c>
      <c r="B12">
        <v>5</v>
      </c>
      <c r="C12">
        <v>5</v>
      </c>
      <c r="D12">
        <v>30</v>
      </c>
      <c r="E12">
        <v>67</v>
      </c>
      <c r="F12" s="2">
        <f t="shared" si="0"/>
        <v>130.59701492537312</v>
      </c>
      <c r="G12">
        <v>5190</v>
      </c>
    </row>
    <row r="13" spans="1:22" x14ac:dyDescent="0.25">
      <c r="A13" t="str">
        <f t="shared" si="1"/>
        <v>5kbps_5dbm_60s</v>
      </c>
      <c r="B13">
        <v>5</v>
      </c>
      <c r="C13">
        <v>5</v>
      </c>
      <c r="D13">
        <v>60</v>
      </c>
      <c r="E13">
        <v>39</v>
      </c>
      <c r="F13" s="2">
        <f t="shared" si="0"/>
        <v>224.35897435897434</v>
      </c>
      <c r="G13">
        <v>5190</v>
      </c>
    </row>
    <row r="14" spans="1:22" x14ac:dyDescent="0.25">
      <c r="A14" t="str">
        <f t="shared" si="1"/>
        <v>5kbps_15dbm_5s</v>
      </c>
      <c r="B14">
        <v>5</v>
      </c>
      <c r="C14">
        <v>15</v>
      </c>
      <c r="D14">
        <v>5</v>
      </c>
      <c r="E14">
        <v>440</v>
      </c>
      <c r="F14" s="2">
        <f t="shared" si="0"/>
        <v>19.886363636363637</v>
      </c>
      <c r="G14">
        <v>7170</v>
      </c>
    </row>
    <row r="15" spans="1:22" x14ac:dyDescent="0.25">
      <c r="A15" t="str">
        <f t="shared" si="1"/>
        <v>5kbps_15dbm_10s</v>
      </c>
      <c r="B15">
        <v>5</v>
      </c>
      <c r="C15">
        <v>15</v>
      </c>
      <c r="D15">
        <v>10</v>
      </c>
      <c r="E15">
        <v>225</v>
      </c>
      <c r="F15" s="2">
        <f t="shared" si="0"/>
        <v>38.888888888888893</v>
      </c>
      <c r="G15">
        <v>7170</v>
      </c>
    </row>
    <row r="16" spans="1:22" x14ac:dyDescent="0.25">
      <c r="A16" t="str">
        <f t="shared" si="1"/>
        <v>5kbps_15dbm_30s</v>
      </c>
      <c r="B16">
        <v>5</v>
      </c>
      <c r="C16">
        <v>15</v>
      </c>
      <c r="D16">
        <v>30</v>
      </c>
      <c r="E16">
        <v>86</v>
      </c>
      <c r="F16" s="2">
        <f t="shared" si="0"/>
        <v>101.74418604651163</v>
      </c>
      <c r="G16">
        <v>7170</v>
      </c>
    </row>
    <row r="17" spans="1:7" x14ac:dyDescent="0.25">
      <c r="A17" t="str">
        <f t="shared" si="1"/>
        <v>5kbps_15dbm_60s</v>
      </c>
      <c r="B17">
        <v>5</v>
      </c>
      <c r="C17">
        <v>15</v>
      </c>
      <c r="D17">
        <v>60</v>
      </c>
      <c r="E17">
        <v>45</v>
      </c>
      <c r="F17" s="2">
        <f t="shared" si="0"/>
        <v>194.44444444444449</v>
      </c>
      <c r="G17">
        <v>7170</v>
      </c>
    </row>
    <row r="18" spans="1:7" s="1" customFormat="1" x14ac:dyDescent="0.25">
      <c r="E18" s="1">
        <v>1</v>
      </c>
      <c r="F18" s="3">
        <f t="shared" si="0"/>
        <v>8750</v>
      </c>
    </row>
    <row r="19" spans="1:7" x14ac:dyDescent="0.25">
      <c r="A19" t="str">
        <f t="shared" si="1"/>
        <v>10kbps_0dbm_5s</v>
      </c>
      <c r="B19">
        <v>10</v>
      </c>
      <c r="C19">
        <v>0</v>
      </c>
      <c r="D19">
        <v>5</v>
      </c>
      <c r="E19">
        <v>166</v>
      </c>
      <c r="F19" s="2">
        <f t="shared" si="0"/>
        <v>52.710843373493972</v>
      </c>
      <c r="G19">
        <v>2590</v>
      </c>
    </row>
    <row r="20" spans="1:7" x14ac:dyDescent="0.25">
      <c r="A20" t="str">
        <f t="shared" si="1"/>
        <v>10kbps_0dbm_10s</v>
      </c>
      <c r="B20">
        <v>10</v>
      </c>
      <c r="C20">
        <v>0</v>
      </c>
      <c r="D20">
        <v>10</v>
      </c>
      <c r="E20">
        <v>90</v>
      </c>
      <c r="F20" s="2">
        <f t="shared" si="0"/>
        <v>97.222222222222243</v>
      </c>
      <c r="G20">
        <v>2590</v>
      </c>
    </row>
    <row r="21" spans="1:7" x14ac:dyDescent="0.25">
      <c r="A21" t="str">
        <f t="shared" si="1"/>
        <v>10kbps_0dbm_30s</v>
      </c>
      <c r="B21">
        <v>10</v>
      </c>
      <c r="C21">
        <v>0</v>
      </c>
      <c r="D21">
        <v>30</v>
      </c>
      <c r="E21">
        <v>32</v>
      </c>
      <c r="F21" s="2">
        <f t="shared" si="0"/>
        <v>273.4375</v>
      </c>
      <c r="G21">
        <v>2590</v>
      </c>
    </row>
    <row r="22" spans="1:7" x14ac:dyDescent="0.25">
      <c r="A22" t="str">
        <f t="shared" si="1"/>
        <v>10kbps_0dbm_60s</v>
      </c>
      <c r="B22">
        <v>10</v>
      </c>
      <c r="C22">
        <v>0</v>
      </c>
      <c r="D22">
        <v>60</v>
      </c>
      <c r="E22">
        <v>21</v>
      </c>
      <c r="F22" s="2">
        <f t="shared" si="0"/>
        <v>416.66666666666669</v>
      </c>
      <c r="G22">
        <v>2590</v>
      </c>
    </row>
    <row r="23" spans="1:7" x14ac:dyDescent="0.25">
      <c r="A23" t="str">
        <f t="shared" si="1"/>
        <v>10kbps_5dbm_5s</v>
      </c>
      <c r="B23">
        <v>10</v>
      </c>
      <c r="C23">
        <v>5</v>
      </c>
      <c r="D23">
        <v>5</v>
      </c>
      <c r="E23">
        <v>180</v>
      </c>
      <c r="F23" s="2">
        <f t="shared" si="0"/>
        <v>48.611111111111121</v>
      </c>
      <c r="G23">
        <v>2950</v>
      </c>
    </row>
    <row r="24" spans="1:7" x14ac:dyDescent="0.25">
      <c r="A24" t="str">
        <f t="shared" si="1"/>
        <v>10kbps_5dbm_10s</v>
      </c>
      <c r="B24">
        <v>10</v>
      </c>
      <c r="C24">
        <v>5</v>
      </c>
      <c r="D24">
        <v>10</v>
      </c>
      <c r="E24">
        <v>96</v>
      </c>
      <c r="F24" s="2">
        <f t="shared" si="0"/>
        <v>91.145833333333343</v>
      </c>
      <c r="G24">
        <v>2950</v>
      </c>
    </row>
    <row r="25" spans="1:7" x14ac:dyDescent="0.25">
      <c r="A25" t="str">
        <f t="shared" si="1"/>
        <v>10kbps_5dbm_30s</v>
      </c>
      <c r="B25">
        <v>10</v>
      </c>
      <c r="C25">
        <v>5</v>
      </c>
      <c r="D25">
        <v>30</v>
      </c>
      <c r="E25">
        <v>36</v>
      </c>
      <c r="F25" s="2">
        <f t="shared" si="0"/>
        <v>243.05555555555557</v>
      </c>
      <c r="G25">
        <v>2950</v>
      </c>
    </row>
    <row r="26" spans="1:7" x14ac:dyDescent="0.25">
      <c r="A26" t="str">
        <f t="shared" si="1"/>
        <v>10kbps_5dbm_60s</v>
      </c>
      <c r="B26">
        <v>10</v>
      </c>
      <c r="C26">
        <v>5</v>
      </c>
      <c r="D26">
        <v>60</v>
      </c>
      <c r="E26">
        <v>22</v>
      </c>
      <c r="F26" s="2">
        <f t="shared" si="0"/>
        <v>397.72727272727275</v>
      </c>
      <c r="G26">
        <v>2950</v>
      </c>
    </row>
    <row r="27" spans="1:7" x14ac:dyDescent="0.25">
      <c r="A27" t="str">
        <f t="shared" si="1"/>
        <v>10kbps_15dbm_5s</v>
      </c>
      <c r="B27">
        <v>10</v>
      </c>
      <c r="C27">
        <v>15</v>
      </c>
      <c r="D27">
        <v>5</v>
      </c>
      <c r="E27">
        <v>243</v>
      </c>
      <c r="F27" s="2">
        <f t="shared" si="0"/>
        <v>36.008230452674894</v>
      </c>
      <c r="G27">
        <v>3930</v>
      </c>
    </row>
    <row r="28" spans="1:7" x14ac:dyDescent="0.25">
      <c r="A28" t="str">
        <f t="shared" si="1"/>
        <v>10kbps_15dbm_10s</v>
      </c>
      <c r="B28">
        <v>10</v>
      </c>
      <c r="C28">
        <v>15</v>
      </c>
      <c r="D28">
        <v>10</v>
      </c>
      <c r="E28">
        <v>125</v>
      </c>
      <c r="F28" s="2">
        <f t="shared" si="0"/>
        <v>70</v>
      </c>
      <c r="G28">
        <v>3930</v>
      </c>
    </row>
    <row r="29" spans="1:7" x14ac:dyDescent="0.25">
      <c r="A29" t="str">
        <f t="shared" si="1"/>
        <v>10kbps_15dbm_30s</v>
      </c>
      <c r="B29">
        <v>10</v>
      </c>
      <c r="C29">
        <v>15</v>
      </c>
      <c r="D29">
        <v>30</v>
      </c>
      <c r="E29">
        <v>43</v>
      </c>
      <c r="F29" s="2">
        <f t="shared" si="0"/>
        <v>203.48837209302326</v>
      </c>
      <c r="G29">
        <v>3930</v>
      </c>
    </row>
    <row r="30" spans="1:7" x14ac:dyDescent="0.25">
      <c r="A30" t="str">
        <f t="shared" si="1"/>
        <v>10kbps_15dbm_60s</v>
      </c>
      <c r="B30">
        <v>10</v>
      </c>
      <c r="C30">
        <v>15</v>
      </c>
      <c r="D30">
        <v>60</v>
      </c>
      <c r="E30">
        <v>27</v>
      </c>
      <c r="F30" s="2">
        <f t="shared" si="0"/>
        <v>324.07407407407413</v>
      </c>
      <c r="G30">
        <v>3930</v>
      </c>
    </row>
    <row r="31" spans="1:7" s="1" customFormat="1" x14ac:dyDescent="0.25">
      <c r="E31" s="1">
        <v>1</v>
      </c>
      <c r="F31" s="3">
        <f t="shared" si="0"/>
        <v>8750</v>
      </c>
    </row>
    <row r="32" spans="1:7" x14ac:dyDescent="0.25">
      <c r="A32" t="str">
        <f t="shared" si="1"/>
        <v>20kbps_0dbm_5s</v>
      </c>
      <c r="B32">
        <v>20</v>
      </c>
      <c r="C32">
        <v>0</v>
      </c>
      <c r="D32">
        <v>5</v>
      </c>
      <c r="E32">
        <v>104</v>
      </c>
      <c r="F32" s="2">
        <f t="shared" si="0"/>
        <v>84.134615384615401</v>
      </c>
      <c r="G32">
        <v>1670</v>
      </c>
    </row>
    <row r="33" spans="1:7" x14ac:dyDescent="0.25">
      <c r="A33" t="str">
        <f t="shared" si="1"/>
        <v>20kbps_0dbm_10s</v>
      </c>
      <c r="B33">
        <v>20</v>
      </c>
      <c r="C33">
        <v>0</v>
      </c>
      <c r="D33">
        <v>10</v>
      </c>
      <c r="E33">
        <v>55</v>
      </c>
      <c r="F33" s="2">
        <f t="shared" si="0"/>
        <v>159.09090909090909</v>
      </c>
      <c r="G33">
        <v>1670</v>
      </c>
    </row>
    <row r="34" spans="1:7" x14ac:dyDescent="0.25">
      <c r="A34" t="str">
        <f t="shared" si="1"/>
        <v>20kbps_0dbm_30s</v>
      </c>
      <c r="B34">
        <v>20</v>
      </c>
      <c r="C34">
        <v>0</v>
      </c>
      <c r="D34">
        <v>30</v>
      </c>
      <c r="E34">
        <v>23</v>
      </c>
      <c r="F34" s="2">
        <f t="shared" si="0"/>
        <v>380.43478260869563</v>
      </c>
      <c r="G34">
        <v>1670</v>
      </c>
    </row>
    <row r="35" spans="1:7" x14ac:dyDescent="0.25">
      <c r="A35" t="str">
        <f t="shared" si="1"/>
        <v>20kbps_0dbm_60s</v>
      </c>
      <c r="B35">
        <v>20</v>
      </c>
      <c r="C35">
        <v>0</v>
      </c>
      <c r="D35">
        <v>60</v>
      </c>
      <c r="E35">
        <v>15</v>
      </c>
      <c r="F35" s="2">
        <f t="shared" si="0"/>
        <v>583.33333333333337</v>
      </c>
      <c r="G35">
        <v>1670</v>
      </c>
    </row>
    <row r="36" spans="1:7" x14ac:dyDescent="0.25">
      <c r="A36" t="str">
        <f t="shared" si="1"/>
        <v>20kbps_5dbm_5s</v>
      </c>
      <c r="B36">
        <v>20</v>
      </c>
      <c r="C36">
        <v>5</v>
      </c>
      <c r="D36">
        <v>5</v>
      </c>
      <c r="E36">
        <v>117</v>
      </c>
      <c r="F36" s="2">
        <f t="shared" si="0"/>
        <v>74.786324786324784</v>
      </c>
      <c r="G36">
        <v>1840</v>
      </c>
    </row>
    <row r="37" spans="1:7" x14ac:dyDescent="0.25">
      <c r="A37" t="str">
        <f t="shared" si="1"/>
        <v>20kbps_5dbm_10s</v>
      </c>
      <c r="B37">
        <v>20</v>
      </c>
      <c r="C37">
        <v>5</v>
      </c>
      <c r="D37">
        <v>10</v>
      </c>
      <c r="E37">
        <v>62</v>
      </c>
      <c r="F37" s="2">
        <f t="shared" si="0"/>
        <v>141.12903225806451</v>
      </c>
      <c r="G37">
        <v>1840</v>
      </c>
    </row>
    <row r="38" spans="1:7" x14ac:dyDescent="0.25">
      <c r="A38" t="str">
        <f t="shared" si="1"/>
        <v>20kbps_5dbm_30s</v>
      </c>
      <c r="B38">
        <v>20</v>
      </c>
      <c r="C38">
        <v>5</v>
      </c>
      <c r="D38">
        <v>30</v>
      </c>
      <c r="E38">
        <v>25</v>
      </c>
      <c r="F38" s="2">
        <f t="shared" ref="F38:F69" si="2">($N$5*3.6)/(E38*0.000001*3600*24)</f>
        <v>350</v>
      </c>
      <c r="G38">
        <v>1840</v>
      </c>
    </row>
    <row r="39" spans="1:7" x14ac:dyDescent="0.25">
      <c r="A39" t="str">
        <f t="shared" si="1"/>
        <v>20kbps_5dbm_60s</v>
      </c>
      <c r="B39">
        <v>20</v>
      </c>
      <c r="C39">
        <v>5</v>
      </c>
      <c r="D39">
        <v>60</v>
      </c>
      <c r="E39">
        <v>16</v>
      </c>
      <c r="F39" s="2">
        <f t="shared" si="2"/>
        <v>546.875</v>
      </c>
      <c r="G39">
        <v>1840</v>
      </c>
    </row>
    <row r="40" spans="1:7" x14ac:dyDescent="0.25">
      <c r="A40" t="str">
        <f t="shared" si="1"/>
        <v>20kbps_15dbm_5s</v>
      </c>
      <c r="B40">
        <v>20</v>
      </c>
      <c r="C40">
        <v>15</v>
      </c>
      <c r="D40">
        <v>5</v>
      </c>
      <c r="E40">
        <v>142</v>
      </c>
      <c r="F40" s="2">
        <f t="shared" si="2"/>
        <v>61.619718309859159</v>
      </c>
      <c r="G40">
        <v>2330</v>
      </c>
    </row>
    <row r="41" spans="1:7" x14ac:dyDescent="0.25">
      <c r="A41" t="str">
        <f t="shared" si="1"/>
        <v>20kbps_15dbm_10s</v>
      </c>
      <c r="B41">
        <v>20</v>
      </c>
      <c r="C41">
        <v>15</v>
      </c>
      <c r="D41">
        <v>10</v>
      </c>
      <c r="E41">
        <v>71</v>
      </c>
      <c r="F41" s="2">
        <f t="shared" si="2"/>
        <v>123.23943661971832</v>
      </c>
      <c r="G41">
        <v>2330</v>
      </c>
    </row>
    <row r="42" spans="1:7" x14ac:dyDescent="0.25">
      <c r="A42" t="str">
        <f t="shared" si="1"/>
        <v>20kbps_15dbm_30s</v>
      </c>
      <c r="B42">
        <v>20</v>
      </c>
      <c r="C42">
        <v>15</v>
      </c>
      <c r="D42">
        <v>30</v>
      </c>
      <c r="E42">
        <v>29</v>
      </c>
      <c r="F42" s="2">
        <f t="shared" si="2"/>
        <v>301.72413793103448</v>
      </c>
      <c r="G42">
        <v>2330</v>
      </c>
    </row>
    <row r="43" spans="1:7" x14ac:dyDescent="0.25">
      <c r="A43" t="str">
        <f t="shared" si="1"/>
        <v>20kbps_15dbm_60s</v>
      </c>
      <c r="B43">
        <v>20</v>
      </c>
      <c r="C43">
        <v>15</v>
      </c>
      <c r="D43">
        <v>60</v>
      </c>
      <c r="E43">
        <v>17</v>
      </c>
      <c r="F43" s="2">
        <f t="shared" si="2"/>
        <v>514.70588235294122</v>
      </c>
      <c r="G43">
        <v>2330</v>
      </c>
    </row>
    <row r="44" spans="1:7" s="1" customFormat="1" x14ac:dyDescent="0.25">
      <c r="E44" s="1">
        <v>1</v>
      </c>
      <c r="F44" s="3">
        <f t="shared" si="2"/>
        <v>8750</v>
      </c>
    </row>
    <row r="45" spans="1:7" x14ac:dyDescent="0.25">
      <c r="A45" t="str">
        <f t="shared" si="1"/>
        <v>50kbps_0dbm_5s</v>
      </c>
      <c r="B45">
        <v>50</v>
      </c>
      <c r="C45">
        <v>0</v>
      </c>
      <c r="D45">
        <v>5</v>
      </c>
      <c r="E45">
        <v>73</v>
      </c>
      <c r="F45" s="2">
        <f t="shared" si="2"/>
        <v>119.86301369863014</v>
      </c>
      <c r="G45">
        <v>1100</v>
      </c>
    </row>
    <row r="46" spans="1:7" x14ac:dyDescent="0.25">
      <c r="A46" t="str">
        <f t="shared" si="1"/>
        <v>50kbps_0dbm_10s</v>
      </c>
      <c r="B46">
        <v>50</v>
      </c>
      <c r="C46">
        <v>0</v>
      </c>
      <c r="D46">
        <v>10</v>
      </c>
      <c r="E46">
        <v>39</v>
      </c>
      <c r="F46" s="2">
        <f t="shared" si="2"/>
        <v>224.35897435897434</v>
      </c>
      <c r="G46">
        <v>1100</v>
      </c>
    </row>
    <row r="47" spans="1:7" x14ac:dyDescent="0.25">
      <c r="A47" t="str">
        <f t="shared" si="1"/>
        <v>50kbps_0dbm_30s</v>
      </c>
      <c r="B47">
        <v>50</v>
      </c>
      <c r="C47">
        <v>0</v>
      </c>
      <c r="D47">
        <v>30</v>
      </c>
      <c r="E47">
        <v>16</v>
      </c>
      <c r="F47" s="2">
        <f t="shared" si="2"/>
        <v>546.875</v>
      </c>
      <c r="G47">
        <v>1100</v>
      </c>
    </row>
    <row r="48" spans="1:7" x14ac:dyDescent="0.25">
      <c r="A48" t="str">
        <f t="shared" si="1"/>
        <v>50kbps_0dbm_60s</v>
      </c>
      <c r="B48">
        <v>50</v>
      </c>
      <c r="C48">
        <v>0</v>
      </c>
      <c r="D48">
        <v>60</v>
      </c>
      <c r="E48">
        <v>12</v>
      </c>
      <c r="F48" s="2">
        <f t="shared" si="2"/>
        <v>729.16666666666674</v>
      </c>
      <c r="G48">
        <v>1100</v>
      </c>
    </row>
    <row r="49" spans="1:7" x14ac:dyDescent="0.25">
      <c r="A49" t="str">
        <f t="shared" si="1"/>
        <v>50kbps_5dbm_5s</v>
      </c>
      <c r="B49">
        <v>50</v>
      </c>
      <c r="C49">
        <v>5</v>
      </c>
      <c r="D49">
        <v>5</v>
      </c>
      <c r="E49">
        <v>75</v>
      </c>
      <c r="F49" s="2">
        <f t="shared" si="2"/>
        <v>116.66666666666669</v>
      </c>
      <c r="G49">
        <v>1200</v>
      </c>
    </row>
    <row r="50" spans="1:7" x14ac:dyDescent="0.25">
      <c r="A50" t="str">
        <f t="shared" si="1"/>
        <v>50kbps_5dbm_10s</v>
      </c>
      <c r="B50">
        <v>50</v>
      </c>
      <c r="C50">
        <v>5</v>
      </c>
      <c r="D50">
        <v>10</v>
      </c>
      <c r="E50">
        <v>42</v>
      </c>
      <c r="F50" s="2">
        <f t="shared" si="2"/>
        <v>208.33333333333334</v>
      </c>
      <c r="G50">
        <v>1200</v>
      </c>
    </row>
    <row r="51" spans="1:7" x14ac:dyDescent="0.25">
      <c r="A51" t="str">
        <f t="shared" si="1"/>
        <v>50kbps_5dbm_30s</v>
      </c>
      <c r="B51">
        <v>50</v>
      </c>
      <c r="C51">
        <v>5</v>
      </c>
      <c r="D51">
        <v>30</v>
      </c>
      <c r="E51">
        <v>19</v>
      </c>
      <c r="F51" s="2">
        <f t="shared" si="2"/>
        <v>460.52631578947376</v>
      </c>
      <c r="G51">
        <v>1200</v>
      </c>
    </row>
    <row r="52" spans="1:7" x14ac:dyDescent="0.25">
      <c r="A52" t="str">
        <f t="shared" si="1"/>
        <v>50kbps_5dbm_60s</v>
      </c>
      <c r="B52">
        <v>50</v>
      </c>
      <c r="C52">
        <v>5</v>
      </c>
      <c r="D52">
        <v>60</v>
      </c>
      <c r="E52">
        <v>13</v>
      </c>
      <c r="F52" s="2">
        <f t="shared" si="2"/>
        <v>673.07692307692321</v>
      </c>
      <c r="G52">
        <v>1200</v>
      </c>
    </row>
    <row r="53" spans="1:7" x14ac:dyDescent="0.25">
      <c r="A53" t="str">
        <f t="shared" si="1"/>
        <v>50kbps_15dbm_5s</v>
      </c>
      <c r="B53">
        <v>50</v>
      </c>
      <c r="C53">
        <v>15</v>
      </c>
      <c r="D53">
        <v>5</v>
      </c>
      <c r="E53">
        <v>91</v>
      </c>
      <c r="F53" s="2">
        <f t="shared" si="2"/>
        <v>96.15384615384616</v>
      </c>
      <c r="G53">
        <v>1360</v>
      </c>
    </row>
    <row r="54" spans="1:7" x14ac:dyDescent="0.25">
      <c r="A54" t="str">
        <f t="shared" si="1"/>
        <v>50kbps_15dbm_10s</v>
      </c>
      <c r="B54">
        <v>50</v>
      </c>
      <c r="C54">
        <v>15</v>
      </c>
      <c r="D54">
        <v>10</v>
      </c>
      <c r="E54">
        <v>44</v>
      </c>
      <c r="F54" s="2">
        <f t="shared" si="2"/>
        <v>198.86363636363637</v>
      </c>
      <c r="G54">
        <v>1360</v>
      </c>
    </row>
    <row r="55" spans="1:7" x14ac:dyDescent="0.25">
      <c r="A55" t="str">
        <f t="shared" si="1"/>
        <v>50kbps_15dbm_30s</v>
      </c>
      <c r="B55">
        <v>50</v>
      </c>
      <c r="C55">
        <v>15</v>
      </c>
      <c r="D55">
        <v>30</v>
      </c>
      <c r="E55">
        <v>20</v>
      </c>
      <c r="F55" s="2">
        <f t="shared" si="2"/>
        <v>437.50000000000006</v>
      </c>
      <c r="G55">
        <v>1360</v>
      </c>
    </row>
    <row r="56" spans="1:7" x14ac:dyDescent="0.25">
      <c r="A56" t="str">
        <f t="shared" si="1"/>
        <v>50kbps_15dbm_60s</v>
      </c>
      <c r="B56">
        <v>50</v>
      </c>
      <c r="C56">
        <v>15</v>
      </c>
      <c r="D56">
        <v>60</v>
      </c>
      <c r="E56">
        <v>14</v>
      </c>
      <c r="F56" s="2">
        <f t="shared" si="2"/>
        <v>625</v>
      </c>
      <c r="G56">
        <v>1360</v>
      </c>
    </row>
    <row r="57" spans="1:7" s="1" customFormat="1" x14ac:dyDescent="0.25">
      <c r="E57" s="1">
        <v>1</v>
      </c>
      <c r="F57" s="3">
        <f t="shared" si="2"/>
        <v>8750</v>
      </c>
    </row>
    <row r="58" spans="1:7" x14ac:dyDescent="0.25">
      <c r="A58" t="str">
        <f t="shared" si="1"/>
        <v>100kbps_0dbm_5s</v>
      </c>
      <c r="B58">
        <v>100</v>
      </c>
      <c r="C58">
        <v>0</v>
      </c>
      <c r="D58">
        <v>5</v>
      </c>
      <c r="E58">
        <v>62</v>
      </c>
      <c r="F58" s="2">
        <f t="shared" si="2"/>
        <v>141.12903225806451</v>
      </c>
      <c r="G58">
        <v>920</v>
      </c>
    </row>
    <row r="59" spans="1:7" x14ac:dyDescent="0.25">
      <c r="A59" t="str">
        <f t="shared" si="1"/>
        <v>100kbps_0dbm_10s</v>
      </c>
      <c r="B59">
        <v>100</v>
      </c>
      <c r="C59">
        <v>0</v>
      </c>
      <c r="D59">
        <v>10</v>
      </c>
      <c r="E59">
        <v>34</v>
      </c>
      <c r="F59" s="2">
        <f t="shared" si="2"/>
        <v>257.35294117647061</v>
      </c>
      <c r="G59">
        <v>920</v>
      </c>
    </row>
    <row r="60" spans="1:7" x14ac:dyDescent="0.25">
      <c r="A60" t="str">
        <f t="shared" si="1"/>
        <v>100kbps_0dbm_30s</v>
      </c>
      <c r="B60">
        <v>100</v>
      </c>
      <c r="C60">
        <v>0</v>
      </c>
      <c r="D60">
        <v>30</v>
      </c>
      <c r="E60">
        <v>16</v>
      </c>
      <c r="F60" s="2">
        <f t="shared" si="2"/>
        <v>546.875</v>
      </c>
      <c r="G60">
        <v>920</v>
      </c>
    </row>
    <row r="61" spans="1:7" x14ac:dyDescent="0.25">
      <c r="A61" t="str">
        <f t="shared" si="1"/>
        <v>100kbps_0dbm_60s</v>
      </c>
      <c r="B61">
        <v>100</v>
      </c>
      <c r="C61">
        <v>0</v>
      </c>
      <c r="D61">
        <v>60</v>
      </c>
      <c r="E61">
        <v>12</v>
      </c>
      <c r="F61" s="2">
        <f t="shared" si="2"/>
        <v>729.16666666666674</v>
      </c>
      <c r="G61">
        <v>920</v>
      </c>
    </row>
    <row r="62" spans="1:7" x14ac:dyDescent="0.25">
      <c r="A62" t="str">
        <f t="shared" si="1"/>
        <v>100kbps_5dbm_5s</v>
      </c>
      <c r="B62">
        <v>100</v>
      </c>
      <c r="C62">
        <v>5</v>
      </c>
      <c r="D62">
        <v>5</v>
      </c>
      <c r="E62">
        <v>62</v>
      </c>
      <c r="F62" s="2">
        <f t="shared" si="2"/>
        <v>141.12903225806451</v>
      </c>
      <c r="G62">
        <v>940</v>
      </c>
    </row>
    <row r="63" spans="1:7" x14ac:dyDescent="0.25">
      <c r="A63" t="str">
        <f t="shared" si="1"/>
        <v>100kbps_5dbm_10s</v>
      </c>
      <c r="B63">
        <v>100</v>
      </c>
      <c r="C63">
        <v>5</v>
      </c>
      <c r="D63">
        <v>10</v>
      </c>
      <c r="E63">
        <v>36</v>
      </c>
      <c r="F63" s="2">
        <f t="shared" si="2"/>
        <v>243.05555555555557</v>
      </c>
      <c r="G63">
        <v>940</v>
      </c>
    </row>
    <row r="64" spans="1:7" x14ac:dyDescent="0.25">
      <c r="A64" t="str">
        <f t="shared" si="1"/>
        <v>100kbps_5dbm_30s</v>
      </c>
      <c r="B64">
        <v>100</v>
      </c>
      <c r="C64">
        <v>5</v>
      </c>
      <c r="D64">
        <v>30</v>
      </c>
      <c r="E64">
        <v>17</v>
      </c>
      <c r="F64" s="2">
        <f t="shared" si="2"/>
        <v>514.70588235294122</v>
      </c>
      <c r="G64">
        <v>940</v>
      </c>
    </row>
    <row r="65" spans="1:7" x14ac:dyDescent="0.25">
      <c r="A65" t="str">
        <f t="shared" si="1"/>
        <v>100kbps_5dbm_60s</v>
      </c>
      <c r="B65">
        <v>100</v>
      </c>
      <c r="C65">
        <v>5</v>
      </c>
      <c r="D65">
        <v>60</v>
      </c>
      <c r="E65">
        <v>13</v>
      </c>
      <c r="F65" s="2">
        <f t="shared" si="2"/>
        <v>673.07692307692321</v>
      </c>
      <c r="G65">
        <v>940</v>
      </c>
    </row>
    <row r="66" spans="1:7" x14ac:dyDescent="0.25">
      <c r="A66" t="str">
        <f t="shared" si="1"/>
        <v>100kbps_15dbm_5s</v>
      </c>
      <c r="B66">
        <v>100</v>
      </c>
      <c r="C66">
        <v>15</v>
      </c>
      <c r="D66">
        <v>5</v>
      </c>
      <c r="E66">
        <v>70</v>
      </c>
      <c r="F66" s="2">
        <f t="shared" si="2"/>
        <v>125</v>
      </c>
      <c r="G66">
        <v>1060</v>
      </c>
    </row>
    <row r="67" spans="1:7" x14ac:dyDescent="0.25">
      <c r="A67" t="str">
        <f t="shared" si="1"/>
        <v>100kbps_15dbm_10s</v>
      </c>
      <c r="B67">
        <v>100</v>
      </c>
      <c r="C67">
        <v>15</v>
      </c>
      <c r="D67">
        <v>10</v>
      </c>
      <c r="E67">
        <v>38</v>
      </c>
      <c r="F67" s="2">
        <f t="shared" si="2"/>
        <v>230.26315789473688</v>
      </c>
      <c r="G67">
        <v>1060</v>
      </c>
    </row>
    <row r="68" spans="1:7" x14ac:dyDescent="0.25">
      <c r="A68" t="str">
        <f t="shared" si="1"/>
        <v>100kbps_15dbm_30s</v>
      </c>
      <c r="B68">
        <v>100</v>
      </c>
      <c r="C68">
        <v>15</v>
      </c>
      <c r="D68">
        <v>30</v>
      </c>
      <c r="E68">
        <v>19</v>
      </c>
      <c r="F68" s="2">
        <f t="shared" si="2"/>
        <v>460.52631578947376</v>
      </c>
      <c r="G68">
        <v>1060</v>
      </c>
    </row>
    <row r="69" spans="1:7" x14ac:dyDescent="0.25">
      <c r="A69" t="str">
        <f t="shared" si="1"/>
        <v>100kbps_15dbm_60s</v>
      </c>
      <c r="B69">
        <v>100</v>
      </c>
      <c r="C69">
        <v>15</v>
      </c>
      <c r="D69">
        <v>60</v>
      </c>
      <c r="E69">
        <v>13</v>
      </c>
      <c r="F69" s="2">
        <f t="shared" si="2"/>
        <v>673.07692307692321</v>
      </c>
      <c r="G69">
        <v>1060</v>
      </c>
    </row>
    <row r="70" spans="1:7" s="1" customFormat="1" x14ac:dyDescent="0.25">
      <c r="E70" s="1">
        <v>1</v>
      </c>
      <c r="F70" s="3">
        <f t="shared" ref="F70:F82" si="3">($N$5*3.6)/(E70*0.000001*3600*24)</f>
        <v>8750</v>
      </c>
    </row>
    <row r="71" spans="1:7" x14ac:dyDescent="0.25">
      <c r="A71" t="str">
        <f t="shared" ref="A71:A82" si="4">CONCATENATE(B71,"kbps_",C71,"dbm_",D71,"s")</f>
        <v>125kbps_0dbm_5s</v>
      </c>
      <c r="B71">
        <v>125</v>
      </c>
      <c r="C71">
        <v>0</v>
      </c>
      <c r="D71">
        <v>5</v>
      </c>
      <c r="E71">
        <v>60</v>
      </c>
      <c r="F71" s="2">
        <f t="shared" si="3"/>
        <v>145.83333333333334</v>
      </c>
      <c r="G71">
        <v>880</v>
      </c>
    </row>
    <row r="72" spans="1:7" x14ac:dyDescent="0.25">
      <c r="A72" t="str">
        <f t="shared" si="4"/>
        <v>125kbps_0dbm_10s</v>
      </c>
      <c r="B72">
        <v>125</v>
      </c>
      <c r="C72">
        <v>0</v>
      </c>
      <c r="D72">
        <v>10</v>
      </c>
      <c r="E72">
        <v>32</v>
      </c>
      <c r="F72" s="2">
        <f t="shared" si="3"/>
        <v>273.4375</v>
      </c>
      <c r="G72">
        <v>880</v>
      </c>
    </row>
    <row r="73" spans="1:7" x14ac:dyDescent="0.25">
      <c r="A73" t="str">
        <f t="shared" si="4"/>
        <v>125kbps_0dbm_30s</v>
      </c>
      <c r="B73">
        <v>125</v>
      </c>
      <c r="C73">
        <v>0</v>
      </c>
      <c r="D73">
        <v>30</v>
      </c>
      <c r="E73">
        <v>16</v>
      </c>
      <c r="F73" s="2">
        <f t="shared" si="3"/>
        <v>546.875</v>
      </c>
      <c r="G73">
        <v>880</v>
      </c>
    </row>
    <row r="74" spans="1:7" x14ac:dyDescent="0.25">
      <c r="A74" t="str">
        <f t="shared" si="4"/>
        <v>125kbps_0dbm_60s</v>
      </c>
      <c r="B74">
        <v>125</v>
      </c>
      <c r="C74">
        <v>0</v>
      </c>
      <c r="D74">
        <v>60</v>
      </c>
      <c r="E74">
        <v>12</v>
      </c>
      <c r="F74" s="2">
        <f t="shared" si="3"/>
        <v>729.16666666666674</v>
      </c>
      <c r="G74">
        <v>880</v>
      </c>
    </row>
    <row r="75" spans="1:7" x14ac:dyDescent="0.25">
      <c r="A75" t="str">
        <f t="shared" si="4"/>
        <v>125kbps_5dbm_5s</v>
      </c>
      <c r="B75">
        <v>125</v>
      </c>
      <c r="C75">
        <v>5</v>
      </c>
      <c r="D75">
        <v>5</v>
      </c>
      <c r="E75">
        <v>61</v>
      </c>
      <c r="F75" s="2">
        <f t="shared" si="3"/>
        <v>143.4426229508197</v>
      </c>
      <c r="G75">
        <v>900</v>
      </c>
    </row>
    <row r="76" spans="1:7" x14ac:dyDescent="0.25">
      <c r="A76" t="str">
        <f t="shared" si="4"/>
        <v>125kbps_5dbm_10s</v>
      </c>
      <c r="B76">
        <v>125</v>
      </c>
      <c r="C76">
        <v>5</v>
      </c>
      <c r="D76">
        <v>10</v>
      </c>
      <c r="E76">
        <v>34</v>
      </c>
      <c r="F76" s="2">
        <f t="shared" si="3"/>
        <v>257.35294117647061</v>
      </c>
      <c r="G76">
        <v>900</v>
      </c>
    </row>
    <row r="77" spans="1:7" x14ac:dyDescent="0.25">
      <c r="A77" t="str">
        <f t="shared" si="4"/>
        <v>125kbps_5dbm_30s</v>
      </c>
      <c r="B77">
        <v>125</v>
      </c>
      <c r="C77">
        <v>5</v>
      </c>
      <c r="D77">
        <v>30</v>
      </c>
      <c r="E77">
        <v>17</v>
      </c>
      <c r="F77" s="2">
        <f t="shared" si="3"/>
        <v>514.70588235294122</v>
      </c>
      <c r="G77">
        <v>900</v>
      </c>
    </row>
    <row r="78" spans="1:7" x14ac:dyDescent="0.25">
      <c r="A78" t="str">
        <f t="shared" si="4"/>
        <v>125kbps_5dbm_60s</v>
      </c>
      <c r="B78">
        <v>125</v>
      </c>
      <c r="C78">
        <v>5</v>
      </c>
      <c r="D78">
        <v>60</v>
      </c>
      <c r="E78">
        <v>12</v>
      </c>
      <c r="F78" s="2">
        <f t="shared" si="3"/>
        <v>729.16666666666674</v>
      </c>
      <c r="G78">
        <v>900</v>
      </c>
    </row>
    <row r="79" spans="1:7" x14ac:dyDescent="0.25">
      <c r="A79" t="str">
        <f t="shared" si="4"/>
        <v>125kbps_15dbm_5s</v>
      </c>
      <c r="B79">
        <v>125</v>
      </c>
      <c r="C79">
        <v>15</v>
      </c>
      <c r="D79">
        <v>5</v>
      </c>
      <c r="E79">
        <v>65</v>
      </c>
      <c r="F79" s="2">
        <f t="shared" si="3"/>
        <v>134.61538461538461</v>
      </c>
      <c r="G79">
        <v>980</v>
      </c>
    </row>
    <row r="80" spans="1:7" x14ac:dyDescent="0.25">
      <c r="A80" t="str">
        <f t="shared" si="4"/>
        <v>125kbps_15dbm_10s</v>
      </c>
      <c r="B80">
        <v>125</v>
      </c>
      <c r="C80">
        <v>15</v>
      </c>
      <c r="D80">
        <v>10</v>
      </c>
      <c r="E80">
        <v>35</v>
      </c>
      <c r="F80" s="2">
        <f t="shared" si="3"/>
        <v>250</v>
      </c>
      <c r="G80">
        <v>980</v>
      </c>
    </row>
    <row r="81" spans="1:7" x14ac:dyDescent="0.25">
      <c r="A81" t="str">
        <f t="shared" si="4"/>
        <v>125kbps_15dbm_30s</v>
      </c>
      <c r="B81">
        <v>125</v>
      </c>
      <c r="C81">
        <v>15</v>
      </c>
      <c r="D81">
        <v>30</v>
      </c>
      <c r="E81">
        <v>18</v>
      </c>
      <c r="F81" s="2">
        <f t="shared" si="3"/>
        <v>486.11111111111114</v>
      </c>
      <c r="G81">
        <v>980</v>
      </c>
    </row>
    <row r="82" spans="1:7" x14ac:dyDescent="0.25">
      <c r="A82" t="str">
        <f t="shared" si="4"/>
        <v>125kbps_15dbm_60s</v>
      </c>
      <c r="B82">
        <v>125</v>
      </c>
      <c r="C82">
        <v>15</v>
      </c>
      <c r="D82">
        <v>60</v>
      </c>
      <c r="E82">
        <v>13</v>
      </c>
      <c r="F82" s="2">
        <f t="shared" si="3"/>
        <v>673.07692307692321</v>
      </c>
      <c r="G82">
        <v>980</v>
      </c>
    </row>
    <row r="83" spans="1:7" s="1" customFormat="1" x14ac:dyDescent="0.25"/>
    <row r="96" spans="1:7" s="1" customFormat="1" x14ac:dyDescent="0.25"/>
    <row r="113" s="1" customFormat="1" x14ac:dyDescent="0.25"/>
  </sheetData>
  <mergeCells count="1">
    <mergeCell ref="A1:V4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8"/>
  <sheetViews>
    <sheetView workbookViewId="0">
      <selection activeCell="D20" sqref="D20"/>
    </sheetView>
  </sheetViews>
  <sheetFormatPr defaultRowHeight="15" x14ac:dyDescent="0.25"/>
  <cols>
    <col min="1" max="1" width="16.28515625" customWidth="1"/>
    <col min="2" max="2" width="45.42578125" customWidth="1"/>
    <col min="3" max="3" width="45.85546875" customWidth="1"/>
    <col min="4" max="4" width="16.42578125" customWidth="1"/>
  </cols>
  <sheetData>
    <row r="1" spans="1:4" x14ac:dyDescent="0.25">
      <c r="A1" t="s">
        <v>9</v>
      </c>
      <c r="B1" t="s">
        <v>10</v>
      </c>
      <c r="C1" t="s">
        <v>29</v>
      </c>
      <c r="D1" t="s">
        <v>83</v>
      </c>
    </row>
    <row r="2" spans="1:4" x14ac:dyDescent="0.25">
      <c r="A2" t="s">
        <v>11</v>
      </c>
      <c r="B2" s="4" t="s">
        <v>78</v>
      </c>
      <c r="C2" s="4" t="s">
        <v>30</v>
      </c>
      <c r="D2">
        <v>49</v>
      </c>
    </row>
    <row r="3" spans="1:4" x14ac:dyDescent="0.25">
      <c r="A3" t="s">
        <v>12</v>
      </c>
      <c r="B3" s="4" t="s">
        <v>31</v>
      </c>
      <c r="C3" s="4" t="s">
        <v>32</v>
      </c>
      <c r="D3">
        <v>49</v>
      </c>
    </row>
    <row r="4" spans="1:4" x14ac:dyDescent="0.25">
      <c r="A4" t="s">
        <v>13</v>
      </c>
      <c r="B4" s="4" t="s">
        <v>33</v>
      </c>
      <c r="C4" s="4" t="s">
        <v>34</v>
      </c>
      <c r="D4">
        <v>49</v>
      </c>
    </row>
    <row r="5" spans="1:4" x14ac:dyDescent="0.25">
      <c r="A5" t="s">
        <v>14</v>
      </c>
      <c r="B5" s="4" t="s">
        <v>35</v>
      </c>
      <c r="C5" s="4" t="s">
        <v>36</v>
      </c>
      <c r="D5">
        <v>27</v>
      </c>
    </row>
    <row r="6" spans="1:4" x14ac:dyDescent="0.25">
      <c r="A6" t="s">
        <v>16</v>
      </c>
      <c r="B6" s="4" t="s">
        <v>37</v>
      </c>
      <c r="C6" s="4" t="s">
        <v>38</v>
      </c>
      <c r="D6">
        <v>27</v>
      </c>
    </row>
    <row r="7" spans="1:4" x14ac:dyDescent="0.25">
      <c r="A7" t="s">
        <v>15</v>
      </c>
      <c r="B7" s="4" t="s">
        <v>39</v>
      </c>
      <c r="C7" s="4" t="s">
        <v>40</v>
      </c>
      <c r="D7">
        <v>27</v>
      </c>
    </row>
    <row r="8" spans="1:4" x14ac:dyDescent="0.25">
      <c r="A8" t="s">
        <v>17</v>
      </c>
      <c r="B8" s="4" t="s">
        <v>41</v>
      </c>
      <c r="C8" s="4" t="s">
        <v>42</v>
      </c>
      <c r="D8">
        <v>15</v>
      </c>
    </row>
    <row r="9" spans="1:4" x14ac:dyDescent="0.25">
      <c r="A9" t="s">
        <v>18</v>
      </c>
      <c r="B9" s="4" t="s">
        <v>43</v>
      </c>
      <c r="C9" s="4" t="s">
        <v>44</v>
      </c>
      <c r="D9">
        <v>15</v>
      </c>
    </row>
    <row r="10" spans="1:4" x14ac:dyDescent="0.25">
      <c r="A10" t="s">
        <v>19</v>
      </c>
      <c r="B10" s="4" t="s">
        <v>45</v>
      </c>
      <c r="C10" s="4" t="s">
        <v>46</v>
      </c>
      <c r="D10">
        <v>15</v>
      </c>
    </row>
    <row r="11" spans="1:4" x14ac:dyDescent="0.25">
      <c r="A11" t="s">
        <v>20</v>
      </c>
      <c r="B11" s="4" t="s">
        <v>47</v>
      </c>
      <c r="C11" s="4" t="s">
        <v>48</v>
      </c>
      <c r="D11">
        <v>6</v>
      </c>
    </row>
    <row r="12" spans="1:4" x14ac:dyDescent="0.25">
      <c r="A12" t="s">
        <v>21</v>
      </c>
      <c r="B12" s="4" t="s">
        <v>49</v>
      </c>
      <c r="C12" s="4" t="s">
        <v>50</v>
      </c>
      <c r="D12">
        <v>6</v>
      </c>
    </row>
    <row r="13" spans="1:4" x14ac:dyDescent="0.25">
      <c r="A13" t="s">
        <v>22</v>
      </c>
      <c r="B13" s="4" t="s">
        <v>51</v>
      </c>
      <c r="C13" s="4" t="s">
        <v>52</v>
      </c>
      <c r="D13">
        <v>6</v>
      </c>
    </row>
    <row r="14" spans="1:4" x14ac:dyDescent="0.25">
      <c r="A14" t="s">
        <v>23</v>
      </c>
      <c r="B14" s="4" t="s">
        <v>53</v>
      </c>
      <c r="C14" s="4" t="s">
        <v>54</v>
      </c>
      <c r="D14">
        <v>4</v>
      </c>
    </row>
    <row r="15" spans="1:4" x14ac:dyDescent="0.25">
      <c r="A15" t="s">
        <v>24</v>
      </c>
      <c r="B15" s="4" t="s">
        <v>55</v>
      </c>
      <c r="C15" s="4" t="s">
        <v>56</v>
      </c>
      <c r="D15">
        <v>4</v>
      </c>
    </row>
    <row r="16" spans="1:4" x14ac:dyDescent="0.25">
      <c r="A16" t="s">
        <v>25</v>
      </c>
      <c r="B16" s="4" t="s">
        <v>57</v>
      </c>
      <c r="C16" s="4" t="s">
        <v>58</v>
      </c>
      <c r="D16">
        <v>4</v>
      </c>
    </row>
    <row r="17" spans="1:4" x14ac:dyDescent="0.25">
      <c r="A17" t="s">
        <v>27</v>
      </c>
      <c r="B17" s="4" t="s">
        <v>59</v>
      </c>
      <c r="C17" s="4" t="s">
        <v>60</v>
      </c>
      <c r="D17">
        <v>3</v>
      </c>
    </row>
    <row r="18" spans="1:4" x14ac:dyDescent="0.25">
      <c r="A18" t="s">
        <v>26</v>
      </c>
      <c r="B18" s="4" t="s">
        <v>61</v>
      </c>
      <c r="C18" s="4" t="s">
        <v>62</v>
      </c>
      <c r="D18">
        <v>3</v>
      </c>
    </row>
    <row r="19" spans="1:4" x14ac:dyDescent="0.25">
      <c r="A19" t="s">
        <v>28</v>
      </c>
      <c r="B19" s="4" t="s">
        <v>63</v>
      </c>
      <c r="C19" s="4" t="s">
        <v>64</v>
      </c>
      <c r="D19">
        <v>3</v>
      </c>
    </row>
    <row r="25" spans="1:4" x14ac:dyDescent="0.25">
      <c r="B25" s="5"/>
      <c r="C25" s="5"/>
    </row>
    <row r="26" spans="1:4" x14ac:dyDescent="0.25">
      <c r="B26" s="5"/>
      <c r="C26" s="5"/>
    </row>
    <row r="27" spans="1:4" x14ac:dyDescent="0.25">
      <c r="B27" s="5"/>
      <c r="C27" s="5"/>
    </row>
    <row r="28" spans="1:4" x14ac:dyDescent="0.25">
      <c r="B28" s="5"/>
      <c r="C28" s="5"/>
    </row>
    <row r="29" spans="1:4" x14ac:dyDescent="0.25">
      <c r="B29" s="5"/>
      <c r="C29" s="5"/>
    </row>
    <row r="30" spans="1:4" x14ac:dyDescent="0.25">
      <c r="B30" s="5"/>
      <c r="C30" s="5"/>
    </row>
    <row r="31" spans="1:4" x14ac:dyDescent="0.25">
      <c r="B31" s="5"/>
      <c r="C31" s="5"/>
    </row>
    <row r="32" spans="1:4" x14ac:dyDescent="0.25">
      <c r="B32" s="5"/>
      <c r="C32" s="5"/>
    </row>
    <row r="33" spans="2:3" x14ac:dyDescent="0.25">
      <c r="B33" s="5"/>
      <c r="C33" s="5"/>
    </row>
    <row r="34" spans="2:3" x14ac:dyDescent="0.25">
      <c r="B34" s="5"/>
      <c r="C34" s="5"/>
    </row>
    <row r="35" spans="2:3" x14ac:dyDescent="0.25">
      <c r="B35" s="5"/>
      <c r="C35" s="5"/>
    </row>
    <row r="36" spans="2:3" x14ac:dyDescent="0.25">
      <c r="B36" s="5"/>
      <c r="C36" s="5"/>
    </row>
    <row r="37" spans="2:3" x14ac:dyDescent="0.25">
      <c r="B37" s="5"/>
      <c r="C37" s="5"/>
    </row>
    <row r="38" spans="2:3" x14ac:dyDescent="0.25">
      <c r="B38" s="5"/>
      <c r="C38" s="5"/>
    </row>
    <row r="39" spans="2:3" x14ac:dyDescent="0.25">
      <c r="B39" s="5"/>
      <c r="C39" s="5"/>
    </row>
    <row r="40" spans="2:3" x14ac:dyDescent="0.25">
      <c r="B40" s="5"/>
      <c r="C40" s="5"/>
    </row>
    <row r="41" spans="2:3" x14ac:dyDescent="0.25">
      <c r="B41" s="5"/>
      <c r="C41" s="5"/>
    </row>
    <row r="42" spans="2:3" x14ac:dyDescent="0.25">
      <c r="B42" s="5"/>
      <c r="C42" s="5"/>
    </row>
    <row r="43" spans="2:3" x14ac:dyDescent="0.25">
      <c r="B43" s="5"/>
      <c r="C43" s="5"/>
    </row>
    <row r="44" spans="2:3" x14ac:dyDescent="0.25">
      <c r="B44" s="5"/>
      <c r="C44" s="5"/>
    </row>
    <row r="45" spans="2:3" x14ac:dyDescent="0.25">
      <c r="B45" s="5"/>
      <c r="C45" s="5"/>
    </row>
    <row r="46" spans="2:3" x14ac:dyDescent="0.25">
      <c r="B46" s="5"/>
      <c r="C46" s="5"/>
    </row>
    <row r="47" spans="2:3" x14ac:dyDescent="0.25">
      <c r="B47" s="5"/>
      <c r="C47" s="5"/>
    </row>
    <row r="48" spans="2:3" x14ac:dyDescent="0.25">
      <c r="B48" s="5"/>
      <c r="C48" s="5"/>
    </row>
  </sheetData>
  <hyperlinks>
    <hyperlink ref="B2" r:id="rId1"/>
    <hyperlink ref="C2" r:id="rId2"/>
    <hyperlink ref="B3" r:id="rId3"/>
    <hyperlink ref="C3" r:id="rId4"/>
    <hyperlink ref="B4" r:id="rId5"/>
    <hyperlink ref="C4" r:id="rId6"/>
    <hyperlink ref="B5" r:id="rId7"/>
    <hyperlink ref="C5" r:id="rId8"/>
    <hyperlink ref="B6" r:id="rId9"/>
    <hyperlink ref="C6" r:id="rId10"/>
    <hyperlink ref="B7" r:id="rId11"/>
    <hyperlink ref="C7" r:id="rId12"/>
    <hyperlink ref="B8" r:id="rId13"/>
    <hyperlink ref="C8" r:id="rId14"/>
    <hyperlink ref="B9" r:id="rId15"/>
    <hyperlink ref="C9" r:id="rId16"/>
    <hyperlink ref="B10" r:id="rId17"/>
    <hyperlink ref="C10" r:id="rId18"/>
    <hyperlink ref="B11" r:id="rId19"/>
    <hyperlink ref="C11" r:id="rId20"/>
    <hyperlink ref="B12" r:id="rId21"/>
    <hyperlink ref="C12" r:id="rId22"/>
    <hyperlink ref="B13" r:id="rId23"/>
    <hyperlink ref="C13" r:id="rId24"/>
    <hyperlink ref="B14" r:id="rId25"/>
    <hyperlink ref="C14" r:id="rId26"/>
    <hyperlink ref="B15" r:id="rId27"/>
    <hyperlink ref="C15" r:id="rId28"/>
    <hyperlink ref="B16" r:id="rId29"/>
    <hyperlink ref="C16" r:id="rId30"/>
    <hyperlink ref="B17" r:id="rId31"/>
    <hyperlink ref="C17" r:id="rId32"/>
    <hyperlink ref="B18" r:id="rId33"/>
    <hyperlink ref="C18" r:id="rId34"/>
    <hyperlink ref="B19" r:id="rId35"/>
    <hyperlink ref="C19" r:id="rId3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Display</vt:lpstr>
      <vt:lpstr>Data</vt:lpstr>
      <vt:lpstr>Picture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Grante</dc:creator>
  <cp:lastModifiedBy>Florian Grante</cp:lastModifiedBy>
  <dcterms:created xsi:type="dcterms:W3CDTF">2019-06-21T11:12:39Z</dcterms:created>
  <dcterms:modified xsi:type="dcterms:W3CDTF">2019-06-27T14:10:30Z</dcterms:modified>
</cp:coreProperties>
</file>